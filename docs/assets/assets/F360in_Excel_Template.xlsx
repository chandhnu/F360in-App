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dhno\Downloads\"/>
    </mc:Choice>
  </mc:AlternateContent>
  <xr:revisionPtr revIDLastSave="0" documentId="13_ncr:1_{E604A721-1960-436F-9868-A1F39E2F24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" sheetId="1" r:id="rId1"/>
    <sheet name="ASSETS" sheetId="2" r:id="rId2"/>
    <sheet name="SAVINGS_MATURITY" sheetId="11" r:id="rId3"/>
    <sheet name="RD_MATURITY" sheetId="12" r:id="rId4"/>
    <sheet name="CASH_IN_HAND" sheetId="13" r:id="rId5"/>
    <sheet name="EQUITY_SHARES" sheetId="14" r:id="rId6"/>
    <sheet name="EQUITY_US" sheetId="15" r:id="rId7"/>
    <sheet name="CRYPTO" sheetId="16" r:id="rId8"/>
    <sheet name="MUTUAL_FUNDS" sheetId="17" r:id="rId9"/>
    <sheet name="LIABILITIES" sheetId="3" r:id="rId10"/>
    <sheet name="INCOME" sheetId="4" r:id="rId11"/>
    <sheet name="EXPENSES_FIXED" sheetId="5" r:id="rId12"/>
    <sheet name="EXPENSES_VARIABLE" sheetId="6" r:id="rId13"/>
  </sheets>
  <definedNames>
    <definedName name="_xlnm._FilterDatabase" localSheetId="5" hidden="1">EQUITY_SHARES!$A$1:$O$30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4" l="1"/>
  <c r="J4" i="14"/>
  <c r="J5" i="14"/>
  <c r="J6" i="14"/>
  <c r="J7" i="14"/>
  <c r="K7" i="14" s="1"/>
  <c r="L7" i="14" s="1"/>
  <c r="J8" i="14"/>
  <c r="J9" i="14"/>
  <c r="J10" i="14"/>
  <c r="J11" i="14"/>
  <c r="J12" i="14"/>
  <c r="J13" i="14"/>
  <c r="J14" i="14"/>
  <c r="J15" i="14"/>
  <c r="J16" i="14"/>
  <c r="J17" i="14"/>
  <c r="K17" i="14" s="1"/>
  <c r="L17" i="14" s="1"/>
  <c r="J18" i="14"/>
  <c r="K18" i="14" s="1"/>
  <c r="L18" i="14" s="1"/>
  <c r="J19" i="14"/>
  <c r="J20" i="14"/>
  <c r="J21" i="14"/>
  <c r="J22" i="14"/>
  <c r="J23" i="14"/>
  <c r="J24" i="14"/>
  <c r="J25" i="14"/>
  <c r="J26" i="14"/>
  <c r="J27" i="14"/>
  <c r="J28" i="14"/>
  <c r="J29" i="14"/>
  <c r="J30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2" i="14"/>
  <c r="J2" i="14"/>
  <c r="M2" i="12"/>
  <c r="J2" i="12"/>
  <c r="J3" i="11"/>
  <c r="J6" i="11"/>
  <c r="J5" i="11"/>
  <c r="J4" i="11"/>
  <c r="J2" i="11"/>
  <c r="K8" i="14" l="1"/>
  <c r="L8" i="14" s="1"/>
  <c r="K26" i="14"/>
  <c r="L26" i="14" s="1"/>
  <c r="K24" i="14"/>
  <c r="L24" i="14" s="1"/>
  <c r="K20" i="14"/>
  <c r="L20" i="14" s="1"/>
  <c r="K11" i="14"/>
  <c r="L11" i="14" s="1"/>
  <c r="K30" i="14"/>
  <c r="L30" i="14" s="1"/>
  <c r="K21" i="14"/>
  <c r="L21" i="14" s="1"/>
  <c r="K10" i="14"/>
  <c r="L10" i="14" s="1"/>
  <c r="K29" i="14"/>
  <c r="L29" i="14" s="1"/>
  <c r="K19" i="14"/>
  <c r="L19" i="14" s="1"/>
  <c r="K9" i="14"/>
  <c r="L9" i="14" s="1"/>
  <c r="K28" i="14"/>
  <c r="L28" i="14" s="1"/>
  <c r="K27" i="14"/>
  <c r="L27" i="14" s="1"/>
  <c r="K16" i="14"/>
  <c r="L16" i="14" s="1"/>
  <c r="K6" i="14"/>
  <c r="L6" i="14" s="1"/>
  <c r="K25" i="14"/>
  <c r="L25" i="14" s="1"/>
  <c r="K15" i="14"/>
  <c r="L15" i="14" s="1"/>
  <c r="K5" i="14"/>
  <c r="L5" i="14" s="1"/>
  <c r="K14" i="14"/>
  <c r="L14" i="14" s="1"/>
  <c r="K4" i="14"/>
  <c r="L4" i="14" s="1"/>
  <c r="K23" i="14"/>
  <c r="L23" i="14" s="1"/>
  <c r="K13" i="14"/>
  <c r="L13" i="14" s="1"/>
  <c r="K3" i="14"/>
  <c r="L3" i="14" s="1"/>
  <c r="K22" i="14"/>
  <c r="L22" i="14" s="1"/>
  <c r="K12" i="14"/>
  <c r="L12" i="14" s="1"/>
  <c r="K2" i="14"/>
  <c r="L2" i="14" s="1"/>
</calcChain>
</file>

<file path=xl/sharedStrings.xml><?xml version="1.0" encoding="utf-8"?>
<sst xmlns="http://schemas.openxmlformats.org/spreadsheetml/2006/main" count="864" uniqueCount="403">
  <si>
    <t>Field</t>
  </si>
  <si>
    <t>Value</t>
  </si>
  <si>
    <t>Name</t>
  </si>
  <si>
    <t>Currency</t>
  </si>
  <si>
    <t>INR</t>
  </si>
  <si>
    <t>FY_Start_Month</t>
  </si>
  <si>
    <t>04</t>
  </si>
  <si>
    <t>Update_Date</t>
  </si>
  <si>
    <t>12-Aug-2026</t>
  </si>
  <si>
    <t>Emergency_Months</t>
  </si>
  <si>
    <t>12</t>
  </si>
  <si>
    <t>Timezone</t>
  </si>
  <si>
    <t>Asia/Kolkata</t>
  </si>
  <si>
    <t>Location</t>
  </si>
  <si>
    <t>India</t>
  </si>
  <si>
    <t>Asset_ID</t>
  </si>
  <si>
    <t>Category</t>
  </si>
  <si>
    <t>Item</t>
  </si>
  <si>
    <t>Unit</t>
  </si>
  <si>
    <t>Quantity</t>
  </si>
  <si>
    <t>Purchase_Price</t>
  </si>
  <si>
    <t>Purchase_Date</t>
  </si>
  <si>
    <t>Current_Value</t>
  </si>
  <si>
    <t>Live_Price_Required</t>
  </si>
  <si>
    <t>Notes</t>
  </si>
  <si>
    <t>A001</t>
  </si>
  <si>
    <t>Bank</t>
  </si>
  <si>
    <t>SBI Savings</t>
  </si>
  <si>
    <t>1</t>
  </si>
  <si>
    <t>500000</t>
  </si>
  <si>
    <t>No</t>
  </si>
  <si>
    <t>Account #2341</t>
  </si>
  <si>
    <t>A002</t>
  </si>
  <si>
    <t>FD</t>
  </si>
  <si>
    <t>HDFC FD 7%</t>
  </si>
  <si>
    <t>01-Jan-2026</t>
  </si>
  <si>
    <t>530000</t>
  </si>
  <si>
    <t>1 year tenure</t>
  </si>
  <si>
    <t>A003</t>
  </si>
  <si>
    <t>Shares</t>
  </si>
  <si>
    <t>TCS</t>
  </si>
  <si>
    <t>QTY</t>
  </si>
  <si>
    <t>10</t>
  </si>
  <si>
    <t>3500</t>
  </si>
  <si>
    <t>15-Jul-2026</t>
  </si>
  <si>
    <t>36500</t>
  </si>
  <si>
    <t>Yes</t>
  </si>
  <si>
    <t>NSE</t>
  </si>
  <si>
    <t>A004</t>
  </si>
  <si>
    <t>MutualFund</t>
  </si>
  <si>
    <t>HDFC Growth</t>
  </si>
  <si>
    <t>Units</t>
  </si>
  <si>
    <t>100</t>
  </si>
  <si>
    <t>1200</t>
  </si>
  <si>
    <t>125000</t>
  </si>
  <si>
    <t>Direct Plan</t>
  </si>
  <si>
    <t>A005</t>
  </si>
  <si>
    <t>Gold</t>
  </si>
  <si>
    <t>Physical Gold</t>
  </si>
  <si>
    <t>grams</t>
  </si>
  <si>
    <t>5000</t>
  </si>
  <si>
    <t>01-Aug-2026</t>
  </si>
  <si>
    <t>655000</t>
  </si>
  <si>
    <t>22K</t>
  </si>
  <si>
    <t>A006</t>
  </si>
  <si>
    <t>RealEstate</t>
  </si>
  <si>
    <t>Residential Property</t>
  </si>
  <si>
    <t>5000000</t>
  </si>
  <si>
    <t>01-Jan-2020</t>
  </si>
  <si>
    <t>7500000</t>
  </si>
  <si>
    <t>2BHK Mumbai</t>
  </si>
  <si>
    <t>Liability_ID</t>
  </si>
  <si>
    <t>Amount</t>
  </si>
  <si>
    <t>Interest_Rate</t>
  </si>
  <si>
    <t>EMI</t>
  </si>
  <si>
    <t>Start_Date</t>
  </si>
  <si>
    <t>End_Date</t>
  </si>
  <si>
    <t>Status</t>
  </si>
  <si>
    <t>L001</t>
  </si>
  <si>
    <t>Active</t>
  </si>
  <si>
    <t>CarLoan</t>
  </si>
  <si>
    <t>Car Loan</t>
  </si>
  <si>
    <t>L003</t>
  </si>
  <si>
    <t>CreditCard</t>
  </si>
  <si>
    <t>Monthly cycle</t>
  </si>
  <si>
    <t>Income_ID</t>
  </si>
  <si>
    <t>Frequency</t>
  </si>
  <si>
    <t>Taxable</t>
  </si>
  <si>
    <t>I001</t>
  </si>
  <si>
    <t>Employment</t>
  </si>
  <si>
    <t>Monthly</t>
  </si>
  <si>
    <t>TBD</t>
  </si>
  <si>
    <t>I002</t>
  </si>
  <si>
    <t>I003</t>
  </si>
  <si>
    <t>I004</t>
  </si>
  <si>
    <t>I005</t>
  </si>
  <si>
    <t>Expense_ID</t>
  </si>
  <si>
    <t>EF001</t>
  </si>
  <si>
    <t>Rent</t>
  </si>
  <si>
    <t>EF002</t>
  </si>
  <si>
    <t>EF003</t>
  </si>
  <si>
    <t>Utilities</t>
  </si>
  <si>
    <t>Electricity</t>
  </si>
  <si>
    <t>Recurring</t>
  </si>
  <si>
    <t>EF004</t>
  </si>
  <si>
    <t>EF005</t>
  </si>
  <si>
    <t>SIP</t>
  </si>
  <si>
    <t>Average_Amount</t>
  </si>
  <si>
    <t>Essential</t>
  </si>
  <si>
    <t>EV001</t>
  </si>
  <si>
    <t>Household</t>
  </si>
  <si>
    <t>EV002</t>
  </si>
  <si>
    <t>Restaurants</t>
  </si>
  <si>
    <t>EV003</t>
  </si>
  <si>
    <t>Fuel</t>
  </si>
  <si>
    <t>EV004</t>
  </si>
  <si>
    <t>Entertainment</t>
  </si>
  <si>
    <t>EV005</t>
  </si>
  <si>
    <t>Symbol</t>
  </si>
  <si>
    <t>Exchange</t>
  </si>
  <si>
    <t>Chandhnu Parthiban</t>
  </si>
  <si>
    <t>19-Aug-2026</t>
  </si>
  <si>
    <t>HDFC</t>
  </si>
  <si>
    <t>Savings_ID</t>
  </si>
  <si>
    <t>Maturity_Date</t>
  </si>
  <si>
    <t>Maturity_Value</t>
  </si>
  <si>
    <t>Days_to_Maturity</t>
  </si>
  <si>
    <t>Notify</t>
  </si>
  <si>
    <t>SM001</t>
  </si>
  <si>
    <t>HDFC 1yr 1d FD</t>
  </si>
  <si>
    <t>HDFC 1yr 6m FD</t>
  </si>
  <si>
    <t>Axis 1yr 5m FD</t>
  </si>
  <si>
    <t>SM002</t>
  </si>
  <si>
    <t>SM003</t>
  </si>
  <si>
    <t>SM004</t>
  </si>
  <si>
    <t>SM005</t>
  </si>
  <si>
    <t>KVB 400 days</t>
  </si>
  <si>
    <t>RD_ID</t>
  </si>
  <si>
    <t>Bank_Name</t>
  </si>
  <si>
    <t>Monthly_Installment</t>
  </si>
  <si>
    <t>Frequency (Monthly/Quarterly)</t>
  </si>
  <si>
    <t>Months_Elapsed</t>
  </si>
  <si>
    <t>RD001</t>
  </si>
  <si>
    <t xml:space="preserve">HDFC RD 12m </t>
  </si>
  <si>
    <t>RD</t>
  </si>
  <si>
    <t>Cash_ID</t>
  </si>
  <si>
    <t>Purpose</t>
  </si>
  <si>
    <t>Last_Updated</t>
  </si>
  <si>
    <t>C001</t>
  </si>
  <si>
    <t>Black Purse</t>
  </si>
  <si>
    <t>Stock_ID</t>
  </si>
  <si>
    <t>Company_Name</t>
  </si>
  <si>
    <t>Current_Price</t>
  </si>
  <si>
    <t>Purchase_Value</t>
  </si>
  <si>
    <t>Absolute_Gain_Loss</t>
  </si>
  <si>
    <t>Gain_Loss_Percent</t>
  </si>
  <si>
    <t>EQ001</t>
  </si>
  <si>
    <t>Asian Paints</t>
  </si>
  <si>
    <t>Avantel</t>
  </si>
  <si>
    <t>BHEL</t>
  </si>
  <si>
    <t>Firstcry</t>
  </si>
  <si>
    <t>Cox &amp; Kings</t>
  </si>
  <si>
    <t>Greenply</t>
  </si>
  <si>
    <t>HDFCBank</t>
  </si>
  <si>
    <t>Hyundai</t>
  </si>
  <si>
    <t>IDFC First Bank</t>
  </si>
  <si>
    <t>IRCTC</t>
  </si>
  <si>
    <t>JSWSTEEL</t>
  </si>
  <si>
    <t>JUSTDIAL</t>
  </si>
  <si>
    <t>Kirlosbros</t>
  </si>
  <si>
    <t>NHPC</t>
  </si>
  <si>
    <t>TMCV</t>
  </si>
  <si>
    <t>TMPV</t>
  </si>
  <si>
    <t>Tatapower</t>
  </si>
  <si>
    <t>Thomascook</t>
  </si>
  <si>
    <t>Union Bank</t>
  </si>
  <si>
    <t>VEDL</t>
  </si>
  <si>
    <t>IDEA</t>
  </si>
  <si>
    <t>Yes Bank</t>
  </si>
  <si>
    <t>EQ002</t>
  </si>
  <si>
    <t>EQ003</t>
  </si>
  <si>
    <t>EQ004</t>
  </si>
  <si>
    <t>EQ005</t>
  </si>
  <si>
    <t>EQ006</t>
  </si>
  <si>
    <t>EQ007</t>
  </si>
  <si>
    <t>EQ008</t>
  </si>
  <si>
    <t>EQ009</t>
  </si>
  <si>
    <t>EQ010</t>
  </si>
  <si>
    <t>EQ011</t>
  </si>
  <si>
    <t>EQ012</t>
  </si>
  <si>
    <t>EQ013</t>
  </si>
  <si>
    <t>EQ014</t>
  </si>
  <si>
    <t>EQ015</t>
  </si>
  <si>
    <t>EQ016</t>
  </si>
  <si>
    <t>EQ017</t>
  </si>
  <si>
    <t>EQ018</t>
  </si>
  <si>
    <t>EQ019</t>
  </si>
  <si>
    <t>EQ020</t>
  </si>
  <si>
    <t>EQ021</t>
  </si>
  <si>
    <t>EQ022</t>
  </si>
  <si>
    <t>VAML</t>
  </si>
  <si>
    <t>VISL</t>
  </si>
  <si>
    <t>VOGL</t>
  </si>
  <si>
    <t>VEDPOWER</t>
  </si>
  <si>
    <t>EQ023</t>
  </si>
  <si>
    <t>EQ024</t>
  </si>
  <si>
    <t>EQ025</t>
  </si>
  <si>
    <t>EQ026</t>
  </si>
  <si>
    <t>EQ027</t>
  </si>
  <si>
    <t>EQ028</t>
  </si>
  <si>
    <t>ASIANPAINT</t>
  </si>
  <si>
    <t>AVANTEL</t>
  </si>
  <si>
    <t>FIRSTCRY</t>
  </si>
  <si>
    <t>COX&amp;KINGS</t>
  </si>
  <si>
    <t>GREENPLY</t>
  </si>
  <si>
    <t>HYUNDAI</t>
  </si>
  <si>
    <t>IDFCFIRSTB</t>
  </si>
  <si>
    <t>KIRLOSBROS</t>
  </si>
  <si>
    <t>TATAPOWER</t>
  </si>
  <si>
    <t>THOMASCOOK</t>
  </si>
  <si>
    <t>UNIONBANK</t>
  </si>
  <si>
    <t>YESBANK</t>
  </si>
  <si>
    <t>Purchase_Price_USD</t>
  </si>
  <si>
    <t>Purchase_Exchange_Rate</t>
  </si>
  <si>
    <t>US001</t>
  </si>
  <si>
    <t>Amazon.com Inc.</t>
  </si>
  <si>
    <t>IND Money</t>
  </si>
  <si>
    <t>AMZN</t>
  </si>
  <si>
    <t>Apple Inc.</t>
  </si>
  <si>
    <t>Netflic Inc.</t>
  </si>
  <si>
    <t>NFLX</t>
  </si>
  <si>
    <t>AAPL</t>
  </si>
  <si>
    <t>Oracle Corp</t>
  </si>
  <si>
    <t>JPMorgan Chase &amp; Co.</t>
  </si>
  <si>
    <t>ORCL</t>
  </si>
  <si>
    <t>JPM</t>
  </si>
  <si>
    <t>US002</t>
  </si>
  <si>
    <t>US003</t>
  </si>
  <si>
    <t>US004</t>
  </si>
  <si>
    <t>US005</t>
  </si>
  <si>
    <t>US006</t>
  </si>
  <si>
    <t>US007</t>
  </si>
  <si>
    <t>Stanley Morgan</t>
  </si>
  <si>
    <t>Crypto_ID</t>
  </si>
  <si>
    <t>Asset_Name</t>
  </si>
  <si>
    <t>C002</t>
  </si>
  <si>
    <t>C003</t>
  </si>
  <si>
    <t>ETH</t>
  </si>
  <si>
    <t>Ethereum</t>
  </si>
  <si>
    <t>BTC</t>
  </si>
  <si>
    <t>Bitcoin</t>
  </si>
  <si>
    <t>LUNC</t>
  </si>
  <si>
    <t>Terra Luna Classic</t>
  </si>
  <si>
    <t>SXT</t>
  </si>
  <si>
    <t>Space and Time</t>
  </si>
  <si>
    <t>NEAR</t>
  </si>
  <si>
    <t>NEAR Protocol</t>
  </si>
  <si>
    <t>TRX</t>
  </si>
  <si>
    <t>Tron</t>
  </si>
  <si>
    <t>USDC</t>
  </si>
  <si>
    <t>TUSD</t>
  </si>
  <si>
    <t>True USD</t>
  </si>
  <si>
    <t>Purchase_Price_INR</t>
  </si>
  <si>
    <t>MF_ID</t>
  </si>
  <si>
    <t>Scheme_Name</t>
  </si>
  <si>
    <t>Fund_Type</t>
  </si>
  <si>
    <t>Fund_House</t>
  </si>
  <si>
    <t>Plan (Direct/Regular)</t>
  </si>
  <si>
    <t>Investment_Type (Lump Sum / SIP)</t>
  </si>
  <si>
    <t>Units (for Lump Sum)</t>
  </si>
  <si>
    <t>Purchase_Price_NAV (for Lump Sum)</t>
  </si>
  <si>
    <t>Purchase_Date (for Lump Sum)</t>
  </si>
  <si>
    <t>SIP_Monthly_Amount (for SIP)</t>
  </si>
  <si>
    <t>SIP_Start_Date (for SIP)</t>
  </si>
  <si>
    <t>SIP_End_Date (for SIP, or "Ongoing")</t>
  </si>
  <si>
    <t>SIP_Frequency (Monthly/Quarterly)</t>
  </si>
  <si>
    <t>MF001</t>
  </si>
  <si>
    <t>Motilal Oswal Large And Midcap Fundregular Growth</t>
  </si>
  <si>
    <t>SBI Large Cap Fund - Growth</t>
  </si>
  <si>
    <t>SBI ELSS Tax Saver Fund - Regular Plan</t>
  </si>
  <si>
    <t>Motilal Oswal</t>
  </si>
  <si>
    <t>Regular Growth</t>
  </si>
  <si>
    <t>Lumpsum</t>
  </si>
  <si>
    <t>Equity (Large Cap)</t>
  </si>
  <si>
    <t>SBI Mutual Fund</t>
  </si>
  <si>
    <t>Growth (Direct or Regular)</t>
  </si>
  <si>
    <t>Ongoing</t>
  </si>
  <si>
    <t>Axis Focussed Fund - Regular Plan - Growth</t>
  </si>
  <si>
    <t>HDFC Silver ETF Fund of Fund Regular Growth</t>
  </si>
  <si>
    <t>Motilal Oswal Midcap Fund Regular Growth</t>
  </si>
  <si>
    <t>ICICI Prudential Money Market Fund - Growth</t>
  </si>
  <si>
    <t>HDFC Retirement Savings Fund - Equity Plan - Regular - Growth - ELSS</t>
  </si>
  <si>
    <t>DSP Large Cap Fund - Regular Plan - Growth</t>
  </si>
  <si>
    <t>HDFC Large Cap Fund - Regular Plan - Growth</t>
  </si>
  <si>
    <t>Regular Plan</t>
  </si>
  <si>
    <t>Growth</t>
  </si>
  <si>
    <t>Axis Mutual Fund</t>
  </si>
  <si>
    <t>HDFC Mutual Fund</t>
  </si>
  <si>
    <t>DSP Mutual Fund</t>
  </si>
  <si>
    <t>ICICI Prudential Mutual Fund</t>
  </si>
  <si>
    <t>Equity (Tax-Saving/ELSS - Retirement Focused)</t>
  </si>
  <si>
    <t>Debt (Money Market/Liquid)</t>
  </si>
  <si>
    <t>Equity (Mid Cap)</t>
  </si>
  <si>
    <t>Commodity/Precious Metal (Silver ETF)</t>
  </si>
  <si>
    <t>Equity (Focused/Concentrated)</t>
  </si>
  <si>
    <t>Equity (Tax-Saving/ELSS)</t>
  </si>
  <si>
    <t>Equity (Large Cap + Mid Cap)</t>
  </si>
  <si>
    <t>Tata Harrier</t>
  </si>
  <si>
    <t>HDFC Credit Card</t>
  </si>
  <si>
    <t>Basic</t>
  </si>
  <si>
    <t>HRA</t>
  </si>
  <si>
    <t>Leave Travel Allowance</t>
  </si>
  <si>
    <t>Self-Owned Vehicle Expense</t>
  </si>
  <si>
    <t>Medical</t>
  </si>
  <si>
    <t>Meal Allowance</t>
  </si>
  <si>
    <t>Flexi Allowance</t>
  </si>
  <si>
    <t>Monthly Joining Bonus</t>
  </si>
  <si>
    <t>Transportation Allowance</t>
  </si>
  <si>
    <t>Other Income</t>
  </si>
  <si>
    <t>Group Term Insurance</t>
  </si>
  <si>
    <t>PF Employee Cont</t>
  </si>
  <si>
    <t>Professional Tax</t>
  </si>
  <si>
    <t>VPF</t>
  </si>
  <si>
    <t>Income Tax</t>
  </si>
  <si>
    <t>Insurance Deduction</t>
  </si>
  <si>
    <t>Medical Insurance Deduction (Parent)</t>
  </si>
  <si>
    <t>Regime</t>
  </si>
  <si>
    <t>Section</t>
  </si>
  <si>
    <t>I006</t>
  </si>
  <si>
    <t>I007</t>
  </si>
  <si>
    <t>I008</t>
  </si>
  <si>
    <t>I009</t>
  </si>
  <si>
    <t>I010</t>
  </si>
  <si>
    <t>I012</t>
  </si>
  <si>
    <t>I013</t>
  </si>
  <si>
    <t>I014</t>
  </si>
  <si>
    <t>I015</t>
  </si>
  <si>
    <t>I016</t>
  </si>
  <si>
    <t>I017</t>
  </si>
  <si>
    <t>I018</t>
  </si>
  <si>
    <t>New</t>
  </si>
  <si>
    <t>80C</t>
  </si>
  <si>
    <t>80D</t>
  </si>
  <si>
    <t>House Maid - Priyadharsini</t>
  </si>
  <si>
    <t>Car Cleaning - Priyadharsini</t>
  </si>
  <si>
    <t>Personal - Priyadharsini</t>
  </si>
  <si>
    <t>Apple Storage</t>
  </si>
  <si>
    <t>Netflix</t>
  </si>
  <si>
    <t>Internet Charges</t>
  </si>
  <si>
    <t>Phone Bills - 9994148612</t>
  </si>
  <si>
    <t>Phone Bills - 9600001662</t>
  </si>
  <si>
    <t>Amazon Prime</t>
  </si>
  <si>
    <t>Recurring Deposit (HDFC)</t>
  </si>
  <si>
    <t>Mutual Fund (Axis)</t>
  </si>
  <si>
    <t>Mutual Fund (HDFC)</t>
  </si>
  <si>
    <t>Digi Gold</t>
  </si>
  <si>
    <t>Handy Saving (SBI)</t>
  </si>
  <si>
    <t>Post Office Savings</t>
  </si>
  <si>
    <t>Savings</t>
  </si>
  <si>
    <t>Investments</t>
  </si>
  <si>
    <t>Fixed Expenses</t>
  </si>
  <si>
    <t>Planned Expenses</t>
  </si>
  <si>
    <t>Car Insurance</t>
  </si>
  <si>
    <t>Car Tyre Change</t>
  </si>
  <si>
    <t>Car Service</t>
  </si>
  <si>
    <t>Yearly</t>
  </si>
  <si>
    <t>3 Years Once</t>
  </si>
  <si>
    <t>2 times a year</t>
  </si>
  <si>
    <t>EF006</t>
  </si>
  <si>
    <t>EF007</t>
  </si>
  <si>
    <t>EF008</t>
  </si>
  <si>
    <t>EF009</t>
  </si>
  <si>
    <t>EF010</t>
  </si>
  <si>
    <t>EF011</t>
  </si>
  <si>
    <t>EF012</t>
  </si>
  <si>
    <t>EF013</t>
  </si>
  <si>
    <t>EF014</t>
  </si>
  <si>
    <t>EF015</t>
  </si>
  <si>
    <t>EF016</t>
  </si>
  <si>
    <t>EF017</t>
  </si>
  <si>
    <t>EF018</t>
  </si>
  <si>
    <t>EF019</t>
  </si>
  <si>
    <t>EF020</t>
  </si>
  <si>
    <t>EF021</t>
  </si>
  <si>
    <t>EF022</t>
  </si>
  <si>
    <t>1st of every month</t>
  </si>
  <si>
    <t>5th of every month</t>
  </si>
  <si>
    <t>15th of August every year</t>
  </si>
  <si>
    <t>1st of December once in 3 years</t>
  </si>
  <si>
    <t>1st of June every year</t>
  </si>
  <si>
    <t>2 Months once</t>
  </si>
  <si>
    <t>Bi Monthly</t>
  </si>
  <si>
    <t>EF023</t>
  </si>
  <si>
    <t>Kayilan Expenses</t>
  </si>
  <si>
    <t>Food/Restaurant/Snacks</t>
  </si>
  <si>
    <t>Hospital Expenses</t>
  </si>
  <si>
    <t>Baby Expenses</t>
  </si>
  <si>
    <t>Personal Chandhnu</t>
  </si>
  <si>
    <t>EV006</t>
  </si>
  <si>
    <t>Travel</t>
  </si>
  <si>
    <t>Train/Bus Tickets</t>
  </si>
  <si>
    <t>EV007</t>
  </si>
  <si>
    <t>EV008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</si>
</sst>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1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4.4" x14ac:dyDescent="0.3"/>
  <cols>
    <col min="1" max="1" width="25" customWidth="1"/>
    <col min="2" max="2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120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5" t="s">
        <v>121</v>
      </c>
    </row>
    <row r="6" spans="1:2" x14ac:dyDescent="0.3">
      <c r="A6" s="2" t="s">
        <v>9</v>
      </c>
      <c r="B6" s="2" t="s">
        <v>10</v>
      </c>
    </row>
    <row r="7" spans="1:2" x14ac:dyDescent="0.3">
      <c r="A7" s="2" t="s">
        <v>11</v>
      </c>
      <c r="B7" s="2" t="s">
        <v>12</v>
      </c>
    </row>
    <row r="8" spans="1:2" x14ac:dyDescent="0.3">
      <c r="A8" s="2" t="s">
        <v>13</v>
      </c>
      <c r="B8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C2" sqref="C2"/>
    </sheetView>
  </sheetViews>
  <sheetFormatPr defaultRowHeight="14.4" x14ac:dyDescent="0.3"/>
  <cols>
    <col min="1" max="1" width="10" customWidth="1"/>
    <col min="2" max="2" width="15" customWidth="1"/>
    <col min="3" max="3" width="20" customWidth="1"/>
    <col min="4" max="4" width="10" customWidth="1"/>
    <col min="5" max="5" width="12" customWidth="1"/>
    <col min="6" max="8" width="15" customWidth="1"/>
    <col min="9" max="9" width="18" customWidth="1"/>
    <col min="10" max="10" width="20" customWidth="1"/>
  </cols>
  <sheetData>
    <row r="1" spans="1:10" ht="28.8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</row>
    <row r="2" spans="1:10" x14ac:dyDescent="0.3">
      <c r="A2" s="2" t="s">
        <v>25</v>
      </c>
      <c r="B2" s="2" t="s">
        <v>26</v>
      </c>
      <c r="C2" s="2" t="s">
        <v>27</v>
      </c>
      <c r="D2" s="2" t="s">
        <v>4</v>
      </c>
      <c r="E2" s="4" t="s">
        <v>28</v>
      </c>
      <c r="F2" s="4" t="s">
        <v>29</v>
      </c>
      <c r="G2" s="2" t="s">
        <v>8</v>
      </c>
      <c r="H2" s="4" t="s">
        <v>29</v>
      </c>
      <c r="I2" s="2" t="s">
        <v>30</v>
      </c>
      <c r="J2" s="2" t="s">
        <v>31</v>
      </c>
    </row>
    <row r="3" spans="1:10" x14ac:dyDescent="0.3">
      <c r="A3" s="2" t="s">
        <v>32</v>
      </c>
      <c r="B3" s="2" t="s">
        <v>33</v>
      </c>
      <c r="C3" s="2" t="s">
        <v>34</v>
      </c>
      <c r="D3" s="2" t="s">
        <v>4</v>
      </c>
      <c r="E3" s="4" t="s">
        <v>28</v>
      </c>
      <c r="F3" s="4" t="s">
        <v>29</v>
      </c>
      <c r="G3" s="2" t="s">
        <v>35</v>
      </c>
      <c r="H3" s="4" t="s">
        <v>36</v>
      </c>
      <c r="I3" s="2" t="s">
        <v>30</v>
      </c>
      <c r="J3" s="2" t="s">
        <v>37</v>
      </c>
    </row>
    <row r="4" spans="1:10" x14ac:dyDescent="0.3">
      <c r="A4" s="2" t="s">
        <v>38</v>
      </c>
      <c r="B4" s="2" t="s">
        <v>39</v>
      </c>
      <c r="C4" s="2" t="s">
        <v>40</v>
      </c>
      <c r="D4" s="2" t="s">
        <v>41</v>
      </c>
      <c r="E4" s="4" t="s">
        <v>42</v>
      </c>
      <c r="F4" s="4" t="s">
        <v>43</v>
      </c>
      <c r="G4" s="2" t="s">
        <v>44</v>
      </c>
      <c r="H4" s="4" t="s">
        <v>45</v>
      </c>
      <c r="I4" s="2" t="s">
        <v>46</v>
      </c>
      <c r="J4" s="2" t="s">
        <v>47</v>
      </c>
    </row>
    <row r="5" spans="1:10" x14ac:dyDescent="0.3">
      <c r="A5" s="2" t="s">
        <v>48</v>
      </c>
      <c r="B5" s="2" t="s">
        <v>49</v>
      </c>
      <c r="C5" s="2" t="s">
        <v>50</v>
      </c>
      <c r="D5" s="2" t="s">
        <v>51</v>
      </c>
      <c r="E5" s="4" t="s">
        <v>52</v>
      </c>
      <c r="F5" s="4" t="s">
        <v>53</v>
      </c>
      <c r="G5" s="2" t="s">
        <v>35</v>
      </c>
      <c r="H5" s="4" t="s">
        <v>54</v>
      </c>
      <c r="I5" s="2" t="s">
        <v>46</v>
      </c>
      <c r="J5" s="2" t="s">
        <v>55</v>
      </c>
    </row>
    <row r="6" spans="1:10" x14ac:dyDescent="0.3">
      <c r="A6" s="2" t="s">
        <v>56</v>
      </c>
      <c r="B6" s="2" t="s">
        <v>57</v>
      </c>
      <c r="C6" s="2" t="s">
        <v>58</v>
      </c>
      <c r="D6" s="2" t="s">
        <v>59</v>
      </c>
      <c r="E6" s="4" t="s">
        <v>52</v>
      </c>
      <c r="F6" s="4" t="s">
        <v>60</v>
      </c>
      <c r="G6" s="2" t="s">
        <v>61</v>
      </c>
      <c r="H6" s="4" t="s">
        <v>62</v>
      </c>
      <c r="I6" s="2" t="s">
        <v>46</v>
      </c>
      <c r="J6" s="2" t="s">
        <v>63</v>
      </c>
    </row>
    <row r="7" spans="1:10" x14ac:dyDescent="0.3">
      <c r="A7" s="2" t="s">
        <v>64</v>
      </c>
      <c r="B7" s="2" t="s">
        <v>65</v>
      </c>
      <c r="C7" s="2" t="s">
        <v>66</v>
      </c>
      <c r="D7" s="2" t="s">
        <v>4</v>
      </c>
      <c r="E7" s="4" t="s">
        <v>28</v>
      </c>
      <c r="F7" s="4" t="s">
        <v>67</v>
      </c>
      <c r="G7" s="2" t="s">
        <v>68</v>
      </c>
      <c r="H7" s="4" t="s">
        <v>69</v>
      </c>
      <c r="I7" s="2" t="s">
        <v>30</v>
      </c>
      <c r="J7" s="2" t="s">
        <v>70</v>
      </c>
    </row>
    <row r="8" spans="1:10" x14ac:dyDescent="0.3">
      <c r="E8" s="9"/>
      <c r="F8" s="9"/>
      <c r="H8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CD72-2760-4697-B504-411D49A7743E}">
  <dimension ref="A1:K6"/>
  <sheetViews>
    <sheetView workbookViewId="0">
      <selection activeCell="J2" sqref="J2"/>
    </sheetView>
  </sheetViews>
  <sheetFormatPr defaultRowHeight="14.4" x14ac:dyDescent="0.3"/>
  <cols>
    <col min="1" max="1" width="10.109375" bestFit="1" customWidth="1"/>
    <col min="2" max="2" width="14.44140625" bestFit="1" customWidth="1"/>
    <col min="3" max="4" width="16.5546875" bestFit="1" customWidth="1"/>
    <col min="5" max="5" width="13.6640625" bestFit="1" customWidth="1"/>
    <col min="6" max="6" width="13.33203125" bestFit="1" customWidth="1"/>
    <col min="7" max="7" width="12.21875" bestFit="1" customWidth="1"/>
    <col min="8" max="8" width="14.21875" bestFit="1" customWidth="1"/>
    <col min="9" max="9" width="12.5546875" customWidth="1"/>
    <col min="10" max="10" width="16.21875" bestFit="1" customWidth="1"/>
    <col min="11" max="11" width="15.5546875" customWidth="1"/>
  </cols>
  <sheetData>
    <row r="1" spans="1:11" x14ac:dyDescent="0.3">
      <c r="A1" s="10" t="s">
        <v>123</v>
      </c>
      <c r="B1" s="10" t="s">
        <v>16</v>
      </c>
      <c r="C1" s="10" t="s">
        <v>17</v>
      </c>
      <c r="D1" s="10" t="s">
        <v>72</v>
      </c>
      <c r="E1" s="10" t="s">
        <v>21</v>
      </c>
      <c r="F1" s="10" t="s">
        <v>124</v>
      </c>
      <c r="G1" s="10" t="s">
        <v>73</v>
      </c>
      <c r="H1" s="10" t="s">
        <v>125</v>
      </c>
      <c r="I1" s="10" t="s">
        <v>77</v>
      </c>
      <c r="J1" s="10" t="s">
        <v>126</v>
      </c>
      <c r="K1" s="10" t="s">
        <v>127</v>
      </c>
    </row>
    <row r="2" spans="1:11" x14ac:dyDescent="0.3">
      <c r="A2" t="s">
        <v>128</v>
      </c>
      <c r="B2" t="s">
        <v>33</v>
      </c>
      <c r="C2" t="s">
        <v>131</v>
      </c>
      <c r="D2">
        <v>22136</v>
      </c>
      <c r="E2" s="6">
        <v>46098</v>
      </c>
      <c r="F2" s="6">
        <v>46616</v>
      </c>
      <c r="G2" s="8">
        <v>6.4500000000000002E-2</v>
      </c>
      <c r="H2">
        <v>24241</v>
      </c>
      <c r="I2" t="s">
        <v>79</v>
      </c>
      <c r="J2" s="11">
        <f ca="1">F2-TODAY()</f>
        <v>362</v>
      </c>
      <c r="K2" s="7" t="s">
        <v>46</v>
      </c>
    </row>
    <row r="3" spans="1:11" x14ac:dyDescent="0.3">
      <c r="A3" t="s">
        <v>132</v>
      </c>
      <c r="B3" t="s">
        <v>33</v>
      </c>
      <c r="C3" t="s">
        <v>136</v>
      </c>
      <c r="D3">
        <v>282282</v>
      </c>
      <c r="E3" s="6">
        <v>46144</v>
      </c>
      <c r="F3" s="6">
        <v>46544</v>
      </c>
      <c r="G3" s="8">
        <v>7.1999999999999995E-2</v>
      </c>
      <c r="H3">
        <v>305257</v>
      </c>
      <c r="I3" t="s">
        <v>79</v>
      </c>
      <c r="J3" s="11">
        <f ca="1">F3-TODAY()</f>
        <v>290</v>
      </c>
      <c r="K3" s="7" t="s">
        <v>46</v>
      </c>
    </row>
    <row r="4" spans="1:11" x14ac:dyDescent="0.3">
      <c r="A4" t="s">
        <v>133</v>
      </c>
      <c r="B4" t="s">
        <v>33</v>
      </c>
      <c r="C4" t="s">
        <v>129</v>
      </c>
      <c r="D4">
        <v>95315</v>
      </c>
      <c r="E4" s="6">
        <v>46235</v>
      </c>
      <c r="F4" s="6">
        <v>46601</v>
      </c>
      <c r="G4" s="8">
        <v>6.25E-2</v>
      </c>
      <c r="H4">
        <v>101431</v>
      </c>
      <c r="I4" t="s">
        <v>79</v>
      </c>
      <c r="J4" s="11">
        <f ca="1">F4-TODAY()</f>
        <v>347</v>
      </c>
      <c r="K4" s="7" t="s">
        <v>46</v>
      </c>
    </row>
    <row r="5" spans="1:11" x14ac:dyDescent="0.3">
      <c r="A5" t="s">
        <v>134</v>
      </c>
      <c r="B5" t="s">
        <v>33</v>
      </c>
      <c r="C5" t="s">
        <v>129</v>
      </c>
      <c r="D5">
        <v>95315</v>
      </c>
      <c r="E5" s="6">
        <v>46235</v>
      </c>
      <c r="F5" s="6">
        <v>46601</v>
      </c>
      <c r="G5" s="8">
        <v>6.25E-2</v>
      </c>
      <c r="H5">
        <v>101431</v>
      </c>
      <c r="I5" t="s">
        <v>79</v>
      </c>
      <c r="J5" s="11">
        <f ca="1">F5-TODAY()</f>
        <v>347</v>
      </c>
      <c r="K5" s="7" t="s">
        <v>46</v>
      </c>
    </row>
    <row r="6" spans="1:11" x14ac:dyDescent="0.3">
      <c r="A6" t="s">
        <v>135</v>
      </c>
      <c r="B6" t="s">
        <v>33</v>
      </c>
      <c r="C6" t="s">
        <v>130</v>
      </c>
      <c r="D6">
        <v>140000</v>
      </c>
      <c r="E6" s="6">
        <v>46058</v>
      </c>
      <c r="F6" s="6">
        <v>46604</v>
      </c>
      <c r="G6" s="8">
        <v>6.4500000000000002E-2</v>
      </c>
      <c r="H6">
        <v>154064</v>
      </c>
      <c r="I6" t="s">
        <v>79</v>
      </c>
      <c r="J6" s="11">
        <f ca="1">F6-TODAY()</f>
        <v>350</v>
      </c>
      <c r="K6" s="7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758C-D3D6-429F-B755-1B5196FB1B24}">
  <dimension ref="A1:O2"/>
  <sheetViews>
    <sheetView workbookViewId="0">
      <selection activeCell="B1" sqref="B1"/>
    </sheetView>
  </sheetViews>
  <sheetFormatPr defaultRowHeight="14.4" x14ac:dyDescent="0.3"/>
  <cols>
    <col min="1" max="1" width="6.109375" bestFit="1" customWidth="1"/>
    <col min="2" max="3" width="12.6640625" bestFit="1" customWidth="1"/>
    <col min="4" max="4" width="11.21875" bestFit="1" customWidth="1"/>
    <col min="5" max="5" width="18.88671875" bestFit="1" customWidth="1"/>
    <col min="6" max="6" width="28" bestFit="1" customWidth="1"/>
    <col min="7" max="7" width="9.88671875" bestFit="1" customWidth="1"/>
    <col min="8" max="8" width="13.33203125" bestFit="1" customWidth="1"/>
    <col min="9" max="9" width="12.21875" bestFit="1" customWidth="1"/>
    <col min="10" max="10" width="15.109375" bestFit="1" customWidth="1"/>
    <col min="11" max="11" width="13.21875" bestFit="1" customWidth="1"/>
    <col min="12" max="12" width="14.21875" bestFit="1" customWidth="1"/>
    <col min="13" max="13" width="16.21875" bestFit="1" customWidth="1"/>
    <col min="14" max="15" width="6.21875" bestFit="1" customWidth="1"/>
  </cols>
  <sheetData>
    <row r="1" spans="1:15" x14ac:dyDescent="0.3">
      <c r="A1" s="10" t="s">
        <v>137</v>
      </c>
      <c r="B1" s="10" t="s">
        <v>16</v>
      </c>
      <c r="C1" s="10" t="s">
        <v>17</v>
      </c>
      <c r="D1" s="10" t="s">
        <v>138</v>
      </c>
      <c r="E1" s="10" t="s">
        <v>139</v>
      </c>
      <c r="F1" s="10" t="s">
        <v>140</v>
      </c>
      <c r="G1" s="10" t="s">
        <v>75</v>
      </c>
      <c r="H1" s="10" t="s">
        <v>124</v>
      </c>
      <c r="I1" s="10" t="s">
        <v>73</v>
      </c>
      <c r="J1" s="10" t="s">
        <v>141</v>
      </c>
      <c r="K1" s="10" t="s">
        <v>22</v>
      </c>
      <c r="L1" s="10" t="s">
        <v>125</v>
      </c>
      <c r="M1" s="10" t="s">
        <v>126</v>
      </c>
      <c r="N1" s="10" t="s">
        <v>77</v>
      </c>
      <c r="O1" s="10" t="s">
        <v>127</v>
      </c>
    </row>
    <row r="2" spans="1:15" x14ac:dyDescent="0.3">
      <c r="A2" t="s">
        <v>142</v>
      </c>
      <c r="B2" t="s">
        <v>144</v>
      </c>
      <c r="C2" t="s">
        <v>143</v>
      </c>
      <c r="D2" t="s">
        <v>122</v>
      </c>
      <c r="E2">
        <v>500</v>
      </c>
      <c r="F2" t="s">
        <v>90</v>
      </c>
      <c r="G2" s="6">
        <v>46027</v>
      </c>
      <c r="H2" s="6">
        <v>46392</v>
      </c>
      <c r="I2" s="8">
        <v>6.25E-2</v>
      </c>
      <c r="J2">
        <f ca="1">MONTH(TODAY()-G2)</f>
        <v>8</v>
      </c>
      <c r="K2">
        <v>4000</v>
      </c>
      <c r="L2">
        <v>6207</v>
      </c>
      <c r="M2">
        <f ca="1">H2-TODAY()</f>
        <v>138</v>
      </c>
      <c r="N2" t="s">
        <v>79</v>
      </c>
      <c r="O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8EA1-F052-4AE2-8CE0-40F3FA80AEF8}">
  <dimension ref="A1:G2"/>
  <sheetViews>
    <sheetView workbookViewId="0">
      <selection activeCell="E3" sqref="E3"/>
    </sheetView>
  </sheetViews>
  <sheetFormatPr defaultRowHeight="14.4" x14ac:dyDescent="0.3"/>
  <cols>
    <col min="1" max="1" width="7.77734375" bestFit="1" customWidth="1"/>
    <col min="2" max="2" width="10.21875" bestFit="1" customWidth="1"/>
    <col min="3" max="4" width="7.88671875" bestFit="1" customWidth="1"/>
    <col min="5" max="5" width="12.6640625" bestFit="1" customWidth="1"/>
    <col min="6" max="6" width="5.88671875" bestFit="1" customWidth="1"/>
    <col min="7" max="7" width="6.21875" bestFit="1" customWidth="1"/>
  </cols>
  <sheetData>
    <row r="1" spans="1:7" x14ac:dyDescent="0.3">
      <c r="A1" s="10" t="s">
        <v>145</v>
      </c>
      <c r="B1" s="10" t="s">
        <v>13</v>
      </c>
      <c r="C1" s="10" t="s">
        <v>72</v>
      </c>
      <c r="D1" s="10" t="s">
        <v>146</v>
      </c>
      <c r="E1" s="10" t="s">
        <v>147</v>
      </c>
      <c r="F1" s="10" t="s">
        <v>24</v>
      </c>
      <c r="G1" s="10" t="s">
        <v>77</v>
      </c>
    </row>
    <row r="2" spans="1:7" x14ac:dyDescent="0.3">
      <c r="A2" t="s">
        <v>148</v>
      </c>
      <c r="B2" t="s">
        <v>149</v>
      </c>
      <c r="C2">
        <v>85750</v>
      </c>
      <c r="G2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7168-45E1-484C-AF18-34011E085A7F}">
  <dimension ref="A1:O30"/>
  <sheetViews>
    <sheetView topLeftCell="C1" workbookViewId="0">
      <selection activeCell="L1" sqref="L1"/>
    </sheetView>
  </sheetViews>
  <sheetFormatPr defaultRowHeight="14.4" x14ac:dyDescent="0.3"/>
  <cols>
    <col min="1" max="1" width="8.21875" bestFit="1" customWidth="1"/>
    <col min="2" max="2" width="13.21875" bestFit="1" customWidth="1"/>
    <col min="3" max="3" width="14.6640625" bestFit="1" customWidth="1"/>
    <col min="4" max="4" width="8.6640625" bestFit="1" customWidth="1"/>
    <col min="5" max="5" width="8" bestFit="1" customWidth="1"/>
    <col min="6" max="6" width="13.44140625" bestFit="1" customWidth="1"/>
    <col min="7" max="7" width="13.33203125" bestFit="1" customWidth="1"/>
    <col min="8" max="8" width="12.109375" bestFit="1" customWidth="1"/>
    <col min="9" max="9" width="12.6640625" bestFit="1" customWidth="1"/>
    <col min="10" max="10" width="14" bestFit="1" customWidth="1"/>
    <col min="11" max="11" width="17.5546875" bestFit="1" customWidth="1"/>
    <col min="12" max="12" width="16.5546875" bestFit="1" customWidth="1"/>
    <col min="13" max="13" width="17.6640625" bestFit="1" customWidth="1"/>
    <col min="14" max="14" width="8.109375" bestFit="1" customWidth="1"/>
    <col min="15" max="15" width="6" bestFit="1" customWidth="1"/>
  </cols>
  <sheetData>
    <row r="1" spans="1:15" x14ac:dyDescent="0.3">
      <c r="A1" t="s">
        <v>150</v>
      </c>
      <c r="B1" t="s">
        <v>118</v>
      </c>
      <c r="C1" t="s">
        <v>151</v>
      </c>
      <c r="D1" t="s">
        <v>119</v>
      </c>
      <c r="E1" t="s">
        <v>19</v>
      </c>
      <c r="F1" t="s">
        <v>20</v>
      </c>
      <c r="G1" t="s">
        <v>21</v>
      </c>
      <c r="H1" t="s">
        <v>152</v>
      </c>
      <c r="I1" t="s">
        <v>22</v>
      </c>
      <c r="J1" t="s">
        <v>153</v>
      </c>
      <c r="K1" t="s">
        <v>154</v>
      </c>
      <c r="L1" t="s">
        <v>155</v>
      </c>
      <c r="M1" t="s">
        <v>23</v>
      </c>
      <c r="N1" t="s">
        <v>24</v>
      </c>
      <c r="O1" t="s">
        <v>77</v>
      </c>
    </row>
    <row r="2" spans="1:15" x14ac:dyDescent="0.3">
      <c r="A2" t="s">
        <v>156</v>
      </c>
      <c r="B2" t="s">
        <v>210</v>
      </c>
      <c r="C2" t="s">
        <v>157</v>
      </c>
      <c r="D2" t="s">
        <v>47</v>
      </c>
      <c r="E2">
        <v>10</v>
      </c>
      <c r="F2" s="12">
        <v>2943.9049999999997</v>
      </c>
      <c r="G2" s="6">
        <v>44718</v>
      </c>
      <c r="H2" s="12">
        <v>2804.5</v>
      </c>
      <c r="I2" s="12">
        <f>E2*H2</f>
        <v>28045</v>
      </c>
      <c r="J2">
        <f>E2*F2</f>
        <v>29439.049999999996</v>
      </c>
      <c r="K2" s="12">
        <f>I2-J2</f>
        <v>-1394.0499999999956</v>
      </c>
      <c r="L2" s="7">
        <f>(K2/J2)</f>
        <v>-4.7353769907656523E-2</v>
      </c>
      <c r="M2" t="s">
        <v>46</v>
      </c>
      <c r="O2" t="s">
        <v>79</v>
      </c>
    </row>
    <row r="3" spans="1:15" x14ac:dyDescent="0.3">
      <c r="A3" t="s">
        <v>179</v>
      </c>
      <c r="B3" t="s">
        <v>211</v>
      </c>
      <c r="C3" t="s">
        <v>158</v>
      </c>
      <c r="D3" t="s">
        <v>47</v>
      </c>
      <c r="E3">
        <v>3</v>
      </c>
      <c r="F3" s="12">
        <v>194.49</v>
      </c>
      <c r="G3" s="6">
        <v>45573</v>
      </c>
      <c r="H3" s="12">
        <v>144.58000000000001</v>
      </c>
      <c r="I3" s="12">
        <f t="shared" ref="I3:I30" si="0">E3*H3</f>
        <v>433.74</v>
      </c>
      <c r="J3">
        <f t="shared" ref="J3:J30" si="1">E3*F3</f>
        <v>583.47</v>
      </c>
      <c r="K3" s="12">
        <f t="shared" ref="K3:K30" si="2">I3-J3</f>
        <v>-149.73000000000002</v>
      </c>
      <c r="L3" s="7">
        <f t="shared" ref="L3:L30" si="3">(K3/J3)</f>
        <v>-0.25661987762866989</v>
      </c>
      <c r="M3" t="s">
        <v>46</v>
      </c>
      <c r="O3" t="s">
        <v>79</v>
      </c>
    </row>
    <row r="4" spans="1:15" x14ac:dyDescent="0.3">
      <c r="A4" t="s">
        <v>180</v>
      </c>
      <c r="B4" t="s">
        <v>159</v>
      </c>
      <c r="C4" t="s">
        <v>159</v>
      </c>
      <c r="D4" t="s">
        <v>47</v>
      </c>
      <c r="E4">
        <v>5</v>
      </c>
      <c r="F4" s="12">
        <v>244.13400000000001</v>
      </c>
      <c r="G4" s="6">
        <v>45931</v>
      </c>
      <c r="H4" s="12">
        <v>275</v>
      </c>
      <c r="I4" s="12">
        <f t="shared" si="0"/>
        <v>1375</v>
      </c>
      <c r="J4">
        <f t="shared" si="1"/>
        <v>1220.67</v>
      </c>
      <c r="K4" s="12">
        <f t="shared" si="2"/>
        <v>154.32999999999993</v>
      </c>
      <c r="L4" s="7">
        <f t="shared" si="3"/>
        <v>0.12643056681986115</v>
      </c>
      <c r="M4" t="s">
        <v>46</v>
      </c>
      <c r="O4" t="s">
        <v>79</v>
      </c>
    </row>
    <row r="5" spans="1:15" x14ac:dyDescent="0.3">
      <c r="A5" t="s">
        <v>181</v>
      </c>
      <c r="B5" t="s">
        <v>212</v>
      </c>
      <c r="C5" t="s">
        <v>160</v>
      </c>
      <c r="D5" t="s">
        <v>47</v>
      </c>
      <c r="E5">
        <v>32</v>
      </c>
      <c r="F5" s="12">
        <v>465</v>
      </c>
      <c r="G5" s="6">
        <v>45514</v>
      </c>
      <c r="H5" s="12">
        <v>282.95</v>
      </c>
      <c r="I5" s="12">
        <f t="shared" si="0"/>
        <v>9054.4</v>
      </c>
      <c r="J5">
        <f t="shared" si="1"/>
        <v>14880</v>
      </c>
      <c r="K5" s="12">
        <f t="shared" si="2"/>
        <v>-5825.6</v>
      </c>
      <c r="L5" s="7">
        <f t="shared" si="3"/>
        <v>-0.39150537634408605</v>
      </c>
      <c r="M5" t="s">
        <v>46</v>
      </c>
      <c r="O5" t="s">
        <v>79</v>
      </c>
    </row>
    <row r="6" spans="1:15" x14ac:dyDescent="0.3">
      <c r="A6" t="s">
        <v>182</v>
      </c>
      <c r="B6" t="s">
        <v>213</v>
      </c>
      <c r="C6" t="s">
        <v>161</v>
      </c>
      <c r="D6" t="s">
        <v>47</v>
      </c>
      <c r="E6">
        <v>25</v>
      </c>
      <c r="F6" s="12">
        <v>2.246</v>
      </c>
      <c r="G6" s="6">
        <v>44389</v>
      </c>
      <c r="H6" s="12">
        <v>1.75</v>
      </c>
      <c r="I6" s="12">
        <f t="shared" si="0"/>
        <v>43.75</v>
      </c>
      <c r="J6">
        <f t="shared" si="1"/>
        <v>56.15</v>
      </c>
      <c r="K6" s="12">
        <f t="shared" si="2"/>
        <v>-12.399999999999999</v>
      </c>
      <c r="L6" s="7">
        <f t="shared" si="3"/>
        <v>-0.22083704363312553</v>
      </c>
      <c r="M6" t="s">
        <v>46</v>
      </c>
      <c r="O6" t="s">
        <v>79</v>
      </c>
    </row>
    <row r="7" spans="1:15" x14ac:dyDescent="0.3">
      <c r="A7" t="s">
        <v>183</v>
      </c>
      <c r="B7" t="s">
        <v>214</v>
      </c>
      <c r="C7" t="s">
        <v>162</v>
      </c>
      <c r="D7" t="s">
        <v>47</v>
      </c>
      <c r="E7">
        <v>5</v>
      </c>
      <c r="F7" s="12">
        <v>403.07399999999996</v>
      </c>
      <c r="G7" s="6">
        <v>45530</v>
      </c>
      <c r="H7" s="12">
        <v>267.35000000000002</v>
      </c>
      <c r="I7" s="12">
        <f t="shared" si="0"/>
        <v>1336.75</v>
      </c>
      <c r="J7">
        <f t="shared" si="1"/>
        <v>2015.37</v>
      </c>
      <c r="K7" s="12">
        <f t="shared" si="2"/>
        <v>-678.61999999999989</v>
      </c>
      <c r="L7" s="7">
        <f t="shared" si="3"/>
        <v>-0.33672228920744079</v>
      </c>
      <c r="M7" t="s">
        <v>46</v>
      </c>
      <c r="O7" t="s">
        <v>79</v>
      </c>
    </row>
    <row r="8" spans="1:15" x14ac:dyDescent="0.3">
      <c r="A8" t="s">
        <v>184</v>
      </c>
      <c r="B8" t="s">
        <v>163</v>
      </c>
      <c r="C8" t="s">
        <v>163</v>
      </c>
      <c r="D8" t="s">
        <v>47</v>
      </c>
      <c r="E8">
        <v>1</v>
      </c>
      <c r="F8" s="12">
        <v>1314.72</v>
      </c>
      <c r="G8" s="6">
        <v>44700</v>
      </c>
      <c r="H8" s="12">
        <v>720</v>
      </c>
      <c r="I8" s="12">
        <f t="shared" si="0"/>
        <v>720</v>
      </c>
      <c r="J8">
        <f t="shared" si="1"/>
        <v>1314.72</v>
      </c>
      <c r="K8" s="12">
        <f t="shared" si="2"/>
        <v>-594.72</v>
      </c>
      <c r="L8" s="7">
        <f t="shared" si="3"/>
        <v>-0.45235487404162106</v>
      </c>
      <c r="M8" t="s">
        <v>46</v>
      </c>
      <c r="O8" t="s">
        <v>79</v>
      </c>
    </row>
    <row r="9" spans="1:15" x14ac:dyDescent="0.3">
      <c r="A9" t="s">
        <v>184</v>
      </c>
      <c r="B9" t="s">
        <v>163</v>
      </c>
      <c r="C9" t="s">
        <v>163</v>
      </c>
      <c r="D9" t="s">
        <v>47</v>
      </c>
      <c r="E9">
        <v>1</v>
      </c>
      <c r="F9" s="12">
        <v>1316.57</v>
      </c>
      <c r="G9" s="6">
        <v>44700</v>
      </c>
      <c r="H9" s="12">
        <v>720</v>
      </c>
      <c r="I9" s="12">
        <f t="shared" si="0"/>
        <v>720</v>
      </c>
      <c r="J9">
        <f t="shared" si="1"/>
        <v>1316.57</v>
      </c>
      <c r="K9" s="12">
        <f t="shared" si="2"/>
        <v>-596.56999999999994</v>
      </c>
      <c r="L9" s="7">
        <f t="shared" si="3"/>
        <v>-0.45312440660200365</v>
      </c>
      <c r="M9" t="s">
        <v>46</v>
      </c>
      <c r="O9" t="s">
        <v>79</v>
      </c>
    </row>
    <row r="10" spans="1:15" x14ac:dyDescent="0.3">
      <c r="A10" t="s">
        <v>185</v>
      </c>
      <c r="B10" t="s">
        <v>215</v>
      </c>
      <c r="C10" t="s">
        <v>164</v>
      </c>
      <c r="D10" t="s">
        <v>47</v>
      </c>
      <c r="E10">
        <v>7</v>
      </c>
      <c r="F10" s="12">
        <v>1960</v>
      </c>
      <c r="G10" s="6">
        <v>45586</v>
      </c>
      <c r="H10" s="12">
        <v>2313.9</v>
      </c>
      <c r="I10" s="12">
        <f t="shared" si="0"/>
        <v>16197.300000000001</v>
      </c>
      <c r="J10">
        <f t="shared" si="1"/>
        <v>13720</v>
      </c>
      <c r="K10" s="12">
        <f t="shared" si="2"/>
        <v>2477.3000000000011</v>
      </c>
      <c r="L10" s="7">
        <f t="shared" si="3"/>
        <v>0.180561224489796</v>
      </c>
      <c r="M10" t="s">
        <v>46</v>
      </c>
      <c r="O10" t="s">
        <v>79</v>
      </c>
    </row>
    <row r="11" spans="1:15" x14ac:dyDescent="0.3">
      <c r="A11" t="s">
        <v>186</v>
      </c>
      <c r="B11" t="s">
        <v>216</v>
      </c>
      <c r="C11" t="s">
        <v>165</v>
      </c>
      <c r="D11" t="s">
        <v>47</v>
      </c>
      <c r="E11">
        <v>100</v>
      </c>
      <c r="F11" s="12">
        <v>67.396000000000001</v>
      </c>
      <c r="G11" s="6">
        <v>45600</v>
      </c>
      <c r="H11" s="12">
        <v>80.319999999999993</v>
      </c>
      <c r="I11" s="12">
        <f t="shared" si="0"/>
        <v>8031.9999999999991</v>
      </c>
      <c r="J11">
        <f t="shared" si="1"/>
        <v>6739.6</v>
      </c>
      <c r="K11" s="12">
        <f t="shared" si="2"/>
        <v>1292.3999999999987</v>
      </c>
      <c r="L11" s="7">
        <f t="shared" si="3"/>
        <v>0.19176212238115001</v>
      </c>
      <c r="M11" t="s">
        <v>46</v>
      </c>
      <c r="O11" t="s">
        <v>79</v>
      </c>
    </row>
    <row r="12" spans="1:15" x14ac:dyDescent="0.3">
      <c r="A12" t="s">
        <v>187</v>
      </c>
      <c r="B12" t="s">
        <v>166</v>
      </c>
      <c r="C12" t="s">
        <v>166</v>
      </c>
      <c r="D12" t="s">
        <v>47</v>
      </c>
      <c r="E12">
        <v>5</v>
      </c>
      <c r="F12" s="12">
        <v>678.61</v>
      </c>
      <c r="G12" s="6">
        <v>44700</v>
      </c>
      <c r="H12" s="12">
        <v>667.85</v>
      </c>
      <c r="I12" s="12">
        <f t="shared" si="0"/>
        <v>3339.25</v>
      </c>
      <c r="J12">
        <f t="shared" si="1"/>
        <v>3393.05</v>
      </c>
      <c r="K12" s="12">
        <f t="shared" si="2"/>
        <v>-53.800000000000182</v>
      </c>
      <c r="L12" s="7">
        <f t="shared" si="3"/>
        <v>-1.5855940820206062E-2</v>
      </c>
      <c r="M12" t="s">
        <v>46</v>
      </c>
      <c r="O12" t="s">
        <v>79</v>
      </c>
    </row>
    <row r="13" spans="1:15" x14ac:dyDescent="0.3">
      <c r="A13" t="s">
        <v>188</v>
      </c>
      <c r="B13" t="s">
        <v>167</v>
      </c>
      <c r="C13" t="s">
        <v>167</v>
      </c>
      <c r="D13" t="s">
        <v>47</v>
      </c>
      <c r="E13">
        <v>1</v>
      </c>
      <c r="F13" s="12">
        <v>692.47</v>
      </c>
      <c r="G13" s="6">
        <v>44389</v>
      </c>
      <c r="H13" s="12">
        <v>1096.8</v>
      </c>
      <c r="I13" s="12">
        <f t="shared" si="0"/>
        <v>1096.8</v>
      </c>
      <c r="J13">
        <f t="shared" si="1"/>
        <v>692.47</v>
      </c>
      <c r="K13" s="12">
        <f t="shared" si="2"/>
        <v>404.32999999999993</v>
      </c>
      <c r="L13" s="7">
        <f t="shared" si="3"/>
        <v>0.58389533120568382</v>
      </c>
      <c r="M13" t="s">
        <v>46</v>
      </c>
      <c r="O13" t="s">
        <v>79</v>
      </c>
    </row>
    <row r="14" spans="1:15" x14ac:dyDescent="0.3">
      <c r="A14" t="s">
        <v>189</v>
      </c>
      <c r="B14" t="s">
        <v>168</v>
      </c>
      <c r="C14" t="s">
        <v>168</v>
      </c>
      <c r="D14" t="s">
        <v>47</v>
      </c>
      <c r="E14">
        <v>50</v>
      </c>
      <c r="F14" s="12">
        <v>598.01419999999996</v>
      </c>
      <c r="G14" s="6">
        <v>44803</v>
      </c>
      <c r="H14" s="12">
        <v>708.45</v>
      </c>
      <c r="I14" s="12">
        <f t="shared" si="0"/>
        <v>35422.5</v>
      </c>
      <c r="J14">
        <f t="shared" si="1"/>
        <v>29900.71</v>
      </c>
      <c r="K14" s="12">
        <f t="shared" si="2"/>
        <v>5521.7900000000009</v>
      </c>
      <c r="L14" s="7">
        <f t="shared" si="3"/>
        <v>0.18467086567509605</v>
      </c>
      <c r="M14" t="s">
        <v>46</v>
      </c>
      <c r="O14" t="s">
        <v>79</v>
      </c>
    </row>
    <row r="15" spans="1:15" x14ac:dyDescent="0.3">
      <c r="A15" t="s">
        <v>190</v>
      </c>
      <c r="B15" t="s">
        <v>217</v>
      </c>
      <c r="C15" t="s">
        <v>169</v>
      </c>
      <c r="D15" t="s">
        <v>47</v>
      </c>
      <c r="E15">
        <v>20</v>
      </c>
      <c r="F15" s="12">
        <v>340.85300000000001</v>
      </c>
      <c r="G15" s="6">
        <v>44803</v>
      </c>
      <c r="H15" s="12">
        <v>1561.9</v>
      </c>
      <c r="I15" s="12">
        <f t="shared" si="0"/>
        <v>31238</v>
      </c>
      <c r="J15">
        <f t="shared" si="1"/>
        <v>6817.06</v>
      </c>
      <c r="K15" s="12">
        <f t="shared" si="2"/>
        <v>24420.94</v>
      </c>
      <c r="L15" s="7">
        <f t="shared" si="3"/>
        <v>3.5823272789149572</v>
      </c>
      <c r="M15" t="s">
        <v>46</v>
      </c>
      <c r="O15" t="s">
        <v>79</v>
      </c>
    </row>
    <row r="16" spans="1:15" x14ac:dyDescent="0.3">
      <c r="A16" t="s">
        <v>191</v>
      </c>
      <c r="B16" t="s">
        <v>170</v>
      </c>
      <c r="C16" t="s">
        <v>170</v>
      </c>
      <c r="D16" t="s">
        <v>47</v>
      </c>
      <c r="E16">
        <v>10</v>
      </c>
      <c r="F16" s="12">
        <v>88.599000000000004</v>
      </c>
      <c r="G16" s="6">
        <v>45933</v>
      </c>
      <c r="H16" s="12">
        <v>76.87</v>
      </c>
      <c r="I16" s="12">
        <f t="shared" si="0"/>
        <v>768.7</v>
      </c>
      <c r="J16">
        <f t="shared" si="1"/>
        <v>885.99</v>
      </c>
      <c r="K16" s="12">
        <f t="shared" si="2"/>
        <v>-117.28999999999996</v>
      </c>
      <c r="L16" s="7">
        <f t="shared" si="3"/>
        <v>-0.13238298400659146</v>
      </c>
      <c r="M16" t="s">
        <v>46</v>
      </c>
      <c r="O16" t="s">
        <v>79</v>
      </c>
    </row>
    <row r="17" spans="1:15" x14ac:dyDescent="0.3">
      <c r="A17" t="s">
        <v>192</v>
      </c>
      <c r="B17" t="s">
        <v>171</v>
      </c>
      <c r="C17" t="s">
        <v>171</v>
      </c>
      <c r="D17" t="s">
        <v>47</v>
      </c>
      <c r="E17">
        <v>10</v>
      </c>
      <c r="F17" s="12">
        <v>96.025000000000006</v>
      </c>
      <c r="G17" s="6">
        <v>45944</v>
      </c>
      <c r="H17" s="12">
        <v>377.8</v>
      </c>
      <c r="I17" s="12">
        <f t="shared" si="0"/>
        <v>3778</v>
      </c>
      <c r="J17">
        <f t="shared" si="1"/>
        <v>960.25</v>
      </c>
      <c r="K17" s="12">
        <f t="shared" si="2"/>
        <v>2817.75</v>
      </c>
      <c r="L17" s="7">
        <f t="shared" si="3"/>
        <v>2.9343920853944288</v>
      </c>
      <c r="M17" t="s">
        <v>46</v>
      </c>
      <c r="O17" t="s">
        <v>79</v>
      </c>
    </row>
    <row r="18" spans="1:15" x14ac:dyDescent="0.3">
      <c r="A18" t="s">
        <v>193</v>
      </c>
      <c r="B18" t="s">
        <v>172</v>
      </c>
      <c r="C18" t="s">
        <v>172</v>
      </c>
      <c r="D18" t="s">
        <v>47</v>
      </c>
      <c r="E18">
        <v>10</v>
      </c>
      <c r="F18" s="12">
        <v>212.24200000000002</v>
      </c>
      <c r="G18" s="6">
        <v>44389</v>
      </c>
      <c r="H18" s="12">
        <v>343.4</v>
      </c>
      <c r="I18" s="12">
        <f t="shared" si="0"/>
        <v>3434</v>
      </c>
      <c r="J18">
        <f t="shared" si="1"/>
        <v>2122.42</v>
      </c>
      <c r="K18" s="12">
        <f t="shared" si="2"/>
        <v>1311.58</v>
      </c>
      <c r="L18" s="7">
        <f t="shared" si="3"/>
        <v>0.61796439912929579</v>
      </c>
      <c r="M18" t="s">
        <v>46</v>
      </c>
      <c r="O18" t="s">
        <v>79</v>
      </c>
    </row>
    <row r="19" spans="1:15" x14ac:dyDescent="0.3">
      <c r="A19" t="s">
        <v>194</v>
      </c>
      <c r="B19" t="s">
        <v>218</v>
      </c>
      <c r="C19" t="s">
        <v>173</v>
      </c>
      <c r="D19" t="s">
        <v>47</v>
      </c>
      <c r="E19">
        <v>10</v>
      </c>
      <c r="F19" s="12">
        <v>239.13499999999999</v>
      </c>
      <c r="G19" s="6">
        <v>44700</v>
      </c>
      <c r="H19" s="12">
        <v>379.85</v>
      </c>
      <c r="I19" s="12">
        <f t="shared" si="0"/>
        <v>3798.5</v>
      </c>
      <c r="J19">
        <f t="shared" si="1"/>
        <v>2391.35</v>
      </c>
      <c r="K19" s="12">
        <f t="shared" si="2"/>
        <v>1407.15</v>
      </c>
      <c r="L19" s="7">
        <f t="shared" si="3"/>
        <v>0.5884333117276852</v>
      </c>
      <c r="M19" t="s">
        <v>46</v>
      </c>
      <c r="O19" t="s">
        <v>79</v>
      </c>
    </row>
    <row r="20" spans="1:15" x14ac:dyDescent="0.3">
      <c r="A20" t="s">
        <v>195</v>
      </c>
      <c r="B20" t="s">
        <v>219</v>
      </c>
      <c r="C20" t="s">
        <v>174</v>
      </c>
      <c r="D20" t="s">
        <v>47</v>
      </c>
      <c r="E20">
        <v>8</v>
      </c>
      <c r="F20" s="12">
        <v>64.027500000000003</v>
      </c>
      <c r="G20" s="6">
        <v>44389</v>
      </c>
      <c r="H20" s="12">
        <v>139.22999999999999</v>
      </c>
      <c r="I20" s="12">
        <f t="shared" si="0"/>
        <v>1113.8399999999999</v>
      </c>
      <c r="J20">
        <f t="shared" si="1"/>
        <v>512.22</v>
      </c>
      <c r="K20" s="12">
        <f t="shared" si="2"/>
        <v>601.61999999999989</v>
      </c>
      <c r="L20" s="7">
        <f t="shared" si="3"/>
        <v>1.1745343797586971</v>
      </c>
      <c r="M20" t="s">
        <v>46</v>
      </c>
      <c r="O20" t="s">
        <v>79</v>
      </c>
    </row>
    <row r="21" spans="1:15" x14ac:dyDescent="0.3">
      <c r="A21" t="s">
        <v>196</v>
      </c>
      <c r="B21" t="s">
        <v>220</v>
      </c>
      <c r="C21" t="s">
        <v>175</v>
      </c>
      <c r="D21" t="s">
        <v>47</v>
      </c>
      <c r="E21">
        <v>10</v>
      </c>
      <c r="F21" s="12">
        <v>142.21600000000001</v>
      </c>
      <c r="G21" s="6">
        <v>45931</v>
      </c>
      <c r="H21" s="12">
        <v>148.06</v>
      </c>
      <c r="I21" s="12">
        <f t="shared" si="0"/>
        <v>1480.6</v>
      </c>
      <c r="J21">
        <f t="shared" si="1"/>
        <v>1422.16</v>
      </c>
      <c r="K21" s="12">
        <f t="shared" si="2"/>
        <v>58.439999999999827</v>
      </c>
      <c r="L21" s="7">
        <f t="shared" si="3"/>
        <v>4.1092422793497091E-2</v>
      </c>
      <c r="M21" t="s">
        <v>46</v>
      </c>
      <c r="O21" t="s">
        <v>79</v>
      </c>
    </row>
    <row r="22" spans="1:15" x14ac:dyDescent="0.3">
      <c r="A22" t="s">
        <v>197</v>
      </c>
      <c r="B22" t="s">
        <v>200</v>
      </c>
      <c r="C22" t="s">
        <v>200</v>
      </c>
      <c r="D22" t="s">
        <v>47</v>
      </c>
      <c r="E22">
        <v>5</v>
      </c>
      <c r="F22" s="12">
        <v>22.85</v>
      </c>
      <c r="G22" s="6">
        <v>46142</v>
      </c>
      <c r="H22" s="12">
        <v>436.2</v>
      </c>
      <c r="I22" s="12">
        <f t="shared" si="0"/>
        <v>2181</v>
      </c>
      <c r="J22">
        <f t="shared" si="1"/>
        <v>114.25</v>
      </c>
      <c r="K22" s="12">
        <f t="shared" si="2"/>
        <v>2066.75</v>
      </c>
      <c r="L22" s="7">
        <f t="shared" si="3"/>
        <v>18.089715536105032</v>
      </c>
      <c r="M22" t="s">
        <v>46</v>
      </c>
      <c r="O22" t="s">
        <v>79</v>
      </c>
    </row>
    <row r="23" spans="1:15" x14ac:dyDescent="0.3">
      <c r="A23" t="s">
        <v>198</v>
      </c>
      <c r="B23" t="s">
        <v>201</v>
      </c>
      <c r="C23" t="s">
        <v>201</v>
      </c>
      <c r="D23" t="s">
        <v>47</v>
      </c>
      <c r="E23">
        <v>5</v>
      </c>
      <c r="F23" s="12">
        <v>21.7</v>
      </c>
      <c r="G23" s="6">
        <v>46142</v>
      </c>
      <c r="H23" s="12">
        <v>36.11</v>
      </c>
      <c r="I23" s="12">
        <f t="shared" si="0"/>
        <v>180.55</v>
      </c>
      <c r="J23">
        <f t="shared" si="1"/>
        <v>108.5</v>
      </c>
      <c r="K23" s="12">
        <f t="shared" si="2"/>
        <v>72.050000000000011</v>
      </c>
      <c r="L23" s="7">
        <f t="shared" si="3"/>
        <v>0.66405529953917064</v>
      </c>
      <c r="M23" t="s">
        <v>46</v>
      </c>
      <c r="O23" t="s">
        <v>79</v>
      </c>
    </row>
    <row r="24" spans="1:15" x14ac:dyDescent="0.3">
      <c r="A24" t="s">
        <v>199</v>
      </c>
      <c r="B24" t="s">
        <v>176</v>
      </c>
      <c r="C24" t="s">
        <v>176</v>
      </c>
      <c r="D24" t="s">
        <v>47</v>
      </c>
      <c r="E24">
        <v>5</v>
      </c>
      <c r="F24" s="12">
        <v>167.27</v>
      </c>
      <c r="G24" s="6">
        <v>46149</v>
      </c>
      <c r="H24" s="12">
        <v>524.20000000000005</v>
      </c>
      <c r="I24" s="12">
        <f t="shared" si="0"/>
        <v>2621</v>
      </c>
      <c r="J24">
        <f t="shared" si="1"/>
        <v>836.35</v>
      </c>
      <c r="K24" s="12">
        <f t="shared" si="2"/>
        <v>1784.65</v>
      </c>
      <c r="L24" s="7">
        <f t="shared" si="3"/>
        <v>2.1338554432952712</v>
      </c>
      <c r="M24" t="s">
        <v>46</v>
      </c>
      <c r="O24" t="s">
        <v>79</v>
      </c>
    </row>
    <row r="25" spans="1:15" x14ac:dyDescent="0.3">
      <c r="A25" t="s">
        <v>204</v>
      </c>
      <c r="B25" t="s">
        <v>202</v>
      </c>
      <c r="C25" t="s">
        <v>202</v>
      </c>
      <c r="D25" t="s">
        <v>47</v>
      </c>
      <c r="E25">
        <v>5</v>
      </c>
      <c r="F25" s="12">
        <v>68.680000000000007</v>
      </c>
      <c r="G25" s="6">
        <v>46142</v>
      </c>
      <c r="H25" s="12">
        <v>36.08</v>
      </c>
      <c r="I25" s="12">
        <f t="shared" si="0"/>
        <v>180.39999999999998</v>
      </c>
      <c r="J25">
        <f t="shared" si="1"/>
        <v>343.40000000000003</v>
      </c>
      <c r="K25" s="12">
        <f t="shared" si="2"/>
        <v>-163.00000000000006</v>
      </c>
      <c r="L25" s="7">
        <f t="shared" si="3"/>
        <v>-0.47466511357018065</v>
      </c>
      <c r="M25" t="s">
        <v>46</v>
      </c>
      <c r="O25" t="s">
        <v>79</v>
      </c>
    </row>
    <row r="26" spans="1:15" x14ac:dyDescent="0.3">
      <c r="A26" t="s">
        <v>205</v>
      </c>
      <c r="B26" t="s">
        <v>203</v>
      </c>
      <c r="C26" t="s">
        <v>203</v>
      </c>
      <c r="D26" t="s">
        <v>47</v>
      </c>
      <c r="E26">
        <v>5</v>
      </c>
      <c r="F26" s="12">
        <v>39.090000000000003</v>
      </c>
      <c r="G26" s="6">
        <v>46142</v>
      </c>
      <c r="H26" s="12">
        <v>35.869999999999997</v>
      </c>
      <c r="I26" s="12">
        <f t="shared" si="0"/>
        <v>179.35</v>
      </c>
      <c r="J26">
        <f t="shared" si="1"/>
        <v>195.45000000000002</v>
      </c>
      <c r="K26" s="12">
        <f t="shared" si="2"/>
        <v>-16.100000000000023</v>
      </c>
      <c r="L26" s="7">
        <f t="shared" si="3"/>
        <v>-8.237400869787681E-2</v>
      </c>
      <c r="M26" t="s">
        <v>46</v>
      </c>
      <c r="O26" t="s">
        <v>79</v>
      </c>
    </row>
    <row r="27" spans="1:15" x14ac:dyDescent="0.3">
      <c r="A27" t="s">
        <v>206</v>
      </c>
      <c r="B27" t="s">
        <v>177</v>
      </c>
      <c r="C27" t="s">
        <v>177</v>
      </c>
      <c r="D27" t="s">
        <v>47</v>
      </c>
      <c r="E27">
        <v>120</v>
      </c>
      <c r="F27" s="12">
        <v>8.4559999999999995</v>
      </c>
      <c r="G27" s="6">
        <v>45931</v>
      </c>
      <c r="H27" s="12">
        <v>10.72</v>
      </c>
      <c r="I27" s="12">
        <f t="shared" si="0"/>
        <v>1286.4000000000001</v>
      </c>
      <c r="J27">
        <f t="shared" si="1"/>
        <v>1014.7199999999999</v>
      </c>
      <c r="K27" s="12">
        <f t="shared" si="2"/>
        <v>271.68000000000018</v>
      </c>
      <c r="L27" s="7">
        <f t="shared" si="3"/>
        <v>0.26773888363292359</v>
      </c>
      <c r="M27" t="s">
        <v>46</v>
      </c>
      <c r="O27" t="s">
        <v>79</v>
      </c>
    </row>
    <row r="28" spans="1:15" x14ac:dyDescent="0.3">
      <c r="A28" t="s">
        <v>207</v>
      </c>
      <c r="B28" t="s">
        <v>221</v>
      </c>
      <c r="C28" t="s">
        <v>178</v>
      </c>
      <c r="D28" t="s">
        <v>47</v>
      </c>
      <c r="E28">
        <v>100</v>
      </c>
      <c r="F28" s="12">
        <v>12.96</v>
      </c>
      <c r="G28" s="6">
        <v>44643</v>
      </c>
      <c r="H28" s="12">
        <v>112.944</v>
      </c>
      <c r="I28" s="12">
        <f t="shared" si="0"/>
        <v>11294.4</v>
      </c>
      <c r="J28">
        <f t="shared" si="1"/>
        <v>1296</v>
      </c>
      <c r="K28" s="12">
        <f t="shared" si="2"/>
        <v>9998.4</v>
      </c>
      <c r="L28" s="7">
        <f t="shared" si="3"/>
        <v>7.7148148148148143</v>
      </c>
      <c r="M28" t="s">
        <v>46</v>
      </c>
      <c r="O28" t="s">
        <v>79</v>
      </c>
    </row>
    <row r="29" spans="1:15" x14ac:dyDescent="0.3">
      <c r="A29" t="s">
        <v>208</v>
      </c>
      <c r="B29" t="s">
        <v>221</v>
      </c>
      <c r="C29" t="s">
        <v>178</v>
      </c>
      <c r="D29" t="s">
        <v>47</v>
      </c>
      <c r="E29">
        <v>300</v>
      </c>
      <c r="F29" s="12">
        <v>18.57</v>
      </c>
      <c r="G29" s="6">
        <v>45174</v>
      </c>
      <c r="H29" s="12">
        <v>37.647999999999996</v>
      </c>
      <c r="I29" s="12">
        <f t="shared" si="0"/>
        <v>11294.4</v>
      </c>
      <c r="J29">
        <f t="shared" si="1"/>
        <v>5571</v>
      </c>
      <c r="K29" s="12">
        <f t="shared" si="2"/>
        <v>5723.4</v>
      </c>
      <c r="L29" s="7">
        <f t="shared" si="3"/>
        <v>1.0273559504577274</v>
      </c>
      <c r="M29" t="s">
        <v>46</v>
      </c>
      <c r="O29" t="s">
        <v>79</v>
      </c>
    </row>
    <row r="30" spans="1:15" x14ac:dyDescent="0.3">
      <c r="A30" t="s">
        <v>209</v>
      </c>
      <c r="B30" t="s">
        <v>221</v>
      </c>
      <c r="C30" t="s">
        <v>178</v>
      </c>
      <c r="D30" t="s">
        <v>47</v>
      </c>
      <c r="E30">
        <v>120</v>
      </c>
      <c r="F30" s="12">
        <v>24.82</v>
      </c>
      <c r="G30" s="6">
        <v>45530</v>
      </c>
      <c r="H30" s="12">
        <v>94.11999999999999</v>
      </c>
      <c r="I30" s="12">
        <f t="shared" si="0"/>
        <v>11294.4</v>
      </c>
      <c r="J30">
        <f t="shared" si="1"/>
        <v>2978.4</v>
      </c>
      <c r="K30" s="12">
        <f t="shared" si="2"/>
        <v>8316</v>
      </c>
      <c r="L30" s="7">
        <f t="shared" si="3"/>
        <v>2.7921031426269138</v>
      </c>
      <c r="M30" t="s">
        <v>46</v>
      </c>
      <c r="O30" t="s">
        <v>79</v>
      </c>
    </row>
  </sheetData>
  <autoFilter ref="A1:O30" xr:uid="{DA577168-45E1-484C-AF18-34011E085A7F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A836-6D37-47E8-B37C-9AD6A235F84C}">
  <dimension ref="A1:K8"/>
  <sheetViews>
    <sheetView workbookViewId="0">
      <selection activeCell="H7" sqref="H7"/>
    </sheetView>
  </sheetViews>
  <sheetFormatPr defaultRowHeight="14.4" x14ac:dyDescent="0.3"/>
  <cols>
    <col min="7" max="7" width="13.33203125" bestFit="1" customWidth="1"/>
    <col min="8" max="8" width="22.109375" bestFit="1" customWidth="1"/>
  </cols>
  <sheetData>
    <row r="1" spans="1:11" x14ac:dyDescent="0.3">
      <c r="A1" t="s">
        <v>150</v>
      </c>
      <c r="B1" t="s">
        <v>118</v>
      </c>
      <c r="C1" t="s">
        <v>151</v>
      </c>
      <c r="D1" t="s">
        <v>119</v>
      </c>
      <c r="E1" t="s">
        <v>19</v>
      </c>
      <c r="F1" t="s">
        <v>222</v>
      </c>
      <c r="G1" t="s">
        <v>21</v>
      </c>
      <c r="H1" t="s">
        <v>223</v>
      </c>
      <c r="I1" t="s">
        <v>23</v>
      </c>
      <c r="J1" t="s">
        <v>24</v>
      </c>
      <c r="K1" t="s">
        <v>77</v>
      </c>
    </row>
    <row r="2" spans="1:11" x14ac:dyDescent="0.3">
      <c r="A2" t="s">
        <v>224</v>
      </c>
      <c r="B2" t="s">
        <v>227</v>
      </c>
      <c r="C2" t="s">
        <v>225</v>
      </c>
      <c r="D2" t="s">
        <v>226</v>
      </c>
      <c r="E2">
        <v>0.10252500000000001</v>
      </c>
      <c r="F2">
        <v>24.93</v>
      </c>
      <c r="G2" s="6">
        <v>45974</v>
      </c>
      <c r="H2">
        <v>88.816000000000003</v>
      </c>
      <c r="I2" t="s">
        <v>46</v>
      </c>
      <c r="K2" t="s">
        <v>79</v>
      </c>
    </row>
    <row r="3" spans="1:11" x14ac:dyDescent="0.3">
      <c r="A3" t="s">
        <v>236</v>
      </c>
      <c r="B3" t="s">
        <v>231</v>
      </c>
      <c r="C3" t="s">
        <v>228</v>
      </c>
      <c r="D3" t="s">
        <v>226</v>
      </c>
      <c r="E3">
        <v>9.0893000000000002E-2</v>
      </c>
      <c r="F3">
        <v>24.93</v>
      </c>
      <c r="G3" s="6">
        <v>45974</v>
      </c>
      <c r="H3">
        <v>88.816000000000003</v>
      </c>
      <c r="I3" t="s">
        <v>46</v>
      </c>
      <c r="K3" t="s">
        <v>79</v>
      </c>
    </row>
    <row r="4" spans="1:11" x14ac:dyDescent="0.3">
      <c r="A4" t="s">
        <v>237</v>
      </c>
      <c r="B4" t="s">
        <v>230</v>
      </c>
      <c r="C4" t="s">
        <v>229</v>
      </c>
      <c r="D4" t="s">
        <v>226</v>
      </c>
      <c r="E4">
        <v>0.21519199999999999</v>
      </c>
      <c r="F4">
        <v>24.93</v>
      </c>
      <c r="G4" s="6">
        <v>45974</v>
      </c>
      <c r="H4">
        <v>88.816000000000003</v>
      </c>
      <c r="I4" t="s">
        <v>46</v>
      </c>
      <c r="K4" t="s">
        <v>79</v>
      </c>
    </row>
    <row r="5" spans="1:11" x14ac:dyDescent="0.3">
      <c r="A5" t="s">
        <v>238</v>
      </c>
      <c r="B5" t="s">
        <v>234</v>
      </c>
      <c r="C5" t="s">
        <v>232</v>
      </c>
      <c r="D5" t="s">
        <v>226</v>
      </c>
      <c r="E5">
        <v>0.88709000000000005</v>
      </c>
      <c r="F5">
        <v>19.940000000000001</v>
      </c>
      <c r="G5" s="6">
        <v>45974</v>
      </c>
      <c r="H5">
        <v>88.816000000000003</v>
      </c>
      <c r="I5" t="s">
        <v>46</v>
      </c>
      <c r="K5" t="s">
        <v>79</v>
      </c>
    </row>
    <row r="6" spans="1:11" x14ac:dyDescent="0.3">
      <c r="A6" t="s">
        <v>239</v>
      </c>
      <c r="B6" t="s">
        <v>235</v>
      </c>
      <c r="C6" t="s">
        <v>233</v>
      </c>
      <c r="D6" t="s">
        <v>226</v>
      </c>
      <c r="E6">
        <v>4.6863000000000002E-2</v>
      </c>
      <c r="F6">
        <v>14.96</v>
      </c>
      <c r="G6" s="6">
        <v>45974</v>
      </c>
      <c r="H6">
        <v>88.816000000000003</v>
      </c>
      <c r="I6" t="s">
        <v>46</v>
      </c>
      <c r="K6" t="s">
        <v>79</v>
      </c>
    </row>
    <row r="7" spans="1:11" x14ac:dyDescent="0.3">
      <c r="A7" t="s">
        <v>240</v>
      </c>
      <c r="B7" t="s">
        <v>227</v>
      </c>
      <c r="C7" t="s">
        <v>225</v>
      </c>
      <c r="D7" t="s">
        <v>242</v>
      </c>
      <c r="E7">
        <v>1</v>
      </c>
      <c r="F7">
        <v>231.25899999999999</v>
      </c>
      <c r="G7" s="6">
        <v>45884</v>
      </c>
      <c r="H7">
        <v>87.48</v>
      </c>
      <c r="I7" t="s">
        <v>46</v>
      </c>
      <c r="K7" t="s">
        <v>79</v>
      </c>
    </row>
    <row r="8" spans="1:11" x14ac:dyDescent="0.3">
      <c r="A8" t="s">
        <v>241</v>
      </c>
      <c r="B8" t="s">
        <v>227</v>
      </c>
      <c r="C8" t="s">
        <v>225</v>
      </c>
      <c r="D8" t="s">
        <v>242</v>
      </c>
      <c r="E8">
        <v>3</v>
      </c>
      <c r="F8">
        <v>260.70319999999998</v>
      </c>
      <c r="G8" s="6">
        <v>46251</v>
      </c>
      <c r="H8">
        <v>95.6965</v>
      </c>
      <c r="I8" t="s">
        <v>46</v>
      </c>
      <c r="K8" t="s">
        <v>79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3142-2276-425D-A159-1E3AEE0E2B11}">
  <dimension ref="A1:I9"/>
  <sheetViews>
    <sheetView workbookViewId="0">
      <selection activeCell="F9" sqref="F2:F9"/>
    </sheetView>
  </sheetViews>
  <sheetFormatPr defaultRowHeight="14.4" x14ac:dyDescent="0.3"/>
  <cols>
    <col min="3" max="3" width="15.6640625" bestFit="1" customWidth="1"/>
    <col min="4" max="4" width="11" bestFit="1" customWidth="1"/>
    <col min="6" max="6" width="9.5546875" bestFit="1" customWidth="1"/>
  </cols>
  <sheetData>
    <row r="1" spans="1:9" x14ac:dyDescent="0.3">
      <c r="A1" t="s">
        <v>243</v>
      </c>
      <c r="B1" t="s">
        <v>118</v>
      </c>
      <c r="C1" t="s">
        <v>244</v>
      </c>
      <c r="D1" t="s">
        <v>19</v>
      </c>
      <c r="E1" t="s">
        <v>262</v>
      </c>
      <c r="F1" t="s">
        <v>21</v>
      </c>
      <c r="G1" t="s">
        <v>23</v>
      </c>
      <c r="H1" t="s">
        <v>24</v>
      </c>
      <c r="I1" t="s">
        <v>77</v>
      </c>
    </row>
    <row r="2" spans="1:9" x14ac:dyDescent="0.3">
      <c r="A2" t="s">
        <v>148</v>
      </c>
      <c r="B2" t="s">
        <v>247</v>
      </c>
      <c r="C2" t="s">
        <v>248</v>
      </c>
      <c r="D2">
        <v>1.2199999999999999E-3</v>
      </c>
      <c r="E2">
        <v>270.56</v>
      </c>
      <c r="F2" s="6">
        <v>45798</v>
      </c>
      <c r="G2" t="s">
        <v>46</v>
      </c>
      <c r="I2" t="s">
        <v>79</v>
      </c>
    </row>
    <row r="3" spans="1:9" x14ac:dyDescent="0.3">
      <c r="A3" t="s">
        <v>245</v>
      </c>
      <c r="B3" t="s">
        <v>249</v>
      </c>
      <c r="C3" t="s">
        <v>250</v>
      </c>
      <c r="D3">
        <v>2.569E-5</v>
      </c>
      <c r="E3">
        <v>290</v>
      </c>
      <c r="F3" s="6">
        <v>45798</v>
      </c>
      <c r="G3" t="s">
        <v>46</v>
      </c>
      <c r="I3" t="s">
        <v>79</v>
      </c>
    </row>
    <row r="4" spans="1:9" x14ac:dyDescent="0.3">
      <c r="A4" t="s">
        <v>246</v>
      </c>
      <c r="B4" t="s">
        <v>251</v>
      </c>
      <c r="C4" t="s">
        <v>252</v>
      </c>
      <c r="D4">
        <v>3596.39</v>
      </c>
      <c r="E4">
        <v>5900</v>
      </c>
      <c r="F4" s="6">
        <v>45798</v>
      </c>
      <c r="G4" t="s">
        <v>46</v>
      </c>
      <c r="I4" t="s">
        <v>79</v>
      </c>
    </row>
    <row r="5" spans="1:9" x14ac:dyDescent="0.3">
      <c r="B5" t="s">
        <v>253</v>
      </c>
      <c r="C5" t="s">
        <v>254</v>
      </c>
      <c r="D5">
        <v>16.8</v>
      </c>
      <c r="E5">
        <v>200</v>
      </c>
      <c r="F5" s="6">
        <v>45798</v>
      </c>
      <c r="G5" t="s">
        <v>46</v>
      </c>
      <c r="I5" t="s">
        <v>79</v>
      </c>
    </row>
    <row r="6" spans="1:9" x14ac:dyDescent="0.3">
      <c r="B6" t="s">
        <v>255</v>
      </c>
      <c r="C6" t="s">
        <v>256</v>
      </c>
      <c r="D6">
        <v>0.01</v>
      </c>
      <c r="E6">
        <v>11.899800000000001</v>
      </c>
      <c r="F6" s="6">
        <v>45798</v>
      </c>
      <c r="G6" t="s">
        <v>46</v>
      </c>
      <c r="I6" t="s">
        <v>79</v>
      </c>
    </row>
    <row r="7" spans="1:9" x14ac:dyDescent="0.3">
      <c r="B7" t="s">
        <v>257</v>
      </c>
      <c r="C7" t="s">
        <v>258</v>
      </c>
      <c r="D7">
        <v>0.04</v>
      </c>
      <c r="E7">
        <v>0</v>
      </c>
      <c r="F7" s="6">
        <v>45798</v>
      </c>
      <c r="G7" t="s">
        <v>46</v>
      </c>
      <c r="I7" t="s">
        <v>79</v>
      </c>
    </row>
    <row r="8" spans="1:9" x14ac:dyDescent="0.3">
      <c r="B8" t="s">
        <v>259</v>
      </c>
      <c r="C8" t="s">
        <v>259</v>
      </c>
      <c r="D8">
        <v>0.01</v>
      </c>
      <c r="E8">
        <v>0</v>
      </c>
      <c r="F8" s="6">
        <v>45798</v>
      </c>
      <c r="G8" t="s">
        <v>46</v>
      </c>
      <c r="I8" t="s">
        <v>79</v>
      </c>
    </row>
    <row r="9" spans="1:9" x14ac:dyDescent="0.3">
      <c r="B9" t="s">
        <v>260</v>
      </c>
      <c r="C9" t="s">
        <v>261</v>
      </c>
      <c r="D9">
        <v>0.01</v>
      </c>
      <c r="E9">
        <v>0</v>
      </c>
      <c r="F9" s="6">
        <v>45798</v>
      </c>
      <c r="G9" t="s">
        <v>46</v>
      </c>
      <c r="I9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1B90-FFCE-4339-8320-D56688A1F1D1}">
  <dimension ref="A1:P11"/>
  <sheetViews>
    <sheetView workbookViewId="0">
      <selection activeCell="E9" sqref="E9"/>
    </sheetView>
  </sheetViews>
  <sheetFormatPr defaultRowHeight="14.4" x14ac:dyDescent="0.3"/>
  <cols>
    <col min="1" max="1" width="6.5546875" bestFit="1" customWidth="1"/>
    <col min="2" max="2" width="44.5546875" bestFit="1" customWidth="1"/>
    <col min="3" max="3" width="39.21875" hidden="1" customWidth="1"/>
    <col min="4" max="4" width="24.44140625" bestFit="1" customWidth="1"/>
    <col min="5" max="5" width="18" bestFit="1" customWidth="1"/>
    <col min="6" max="6" width="29.5546875" bestFit="1" customWidth="1"/>
    <col min="7" max="7" width="18.21875" hidden="1" customWidth="1"/>
    <col min="8" max="8" width="31.21875" hidden="1" customWidth="1"/>
    <col min="9" max="9" width="26.44140625" hidden="1" customWidth="1"/>
    <col min="10" max="10" width="26" bestFit="1" customWidth="1"/>
    <col min="11" max="11" width="20.33203125" bestFit="1" customWidth="1"/>
    <col min="12" max="12" width="31.109375" bestFit="1" customWidth="1"/>
    <col min="13" max="13" width="30.109375" bestFit="1" customWidth="1"/>
    <col min="14" max="14" width="17.6640625" bestFit="1" customWidth="1"/>
    <col min="15" max="15" width="5.88671875" bestFit="1" customWidth="1"/>
    <col min="16" max="16" width="6" bestFit="1" customWidth="1"/>
  </cols>
  <sheetData>
    <row r="1" spans="1:16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23</v>
      </c>
      <c r="O1" t="s">
        <v>24</v>
      </c>
      <c r="P1" t="s">
        <v>77</v>
      </c>
    </row>
    <row r="2" spans="1:16" x14ac:dyDescent="0.3">
      <c r="A2" t="s">
        <v>276</v>
      </c>
      <c r="B2" t="s">
        <v>277</v>
      </c>
      <c r="C2" t="s">
        <v>306</v>
      </c>
      <c r="D2" t="s">
        <v>280</v>
      </c>
      <c r="E2" t="s">
        <v>281</v>
      </c>
      <c r="F2" t="s">
        <v>282</v>
      </c>
      <c r="G2">
        <v>2385.415</v>
      </c>
      <c r="H2">
        <v>75000.070000000007</v>
      </c>
      <c r="I2" s="6">
        <v>45670</v>
      </c>
      <c r="N2" t="s">
        <v>46</v>
      </c>
      <c r="P2" t="s">
        <v>79</v>
      </c>
    </row>
    <row r="3" spans="1:16" x14ac:dyDescent="0.3">
      <c r="B3" t="s">
        <v>278</v>
      </c>
      <c r="C3" t="s">
        <v>283</v>
      </c>
      <c r="D3" t="s">
        <v>284</v>
      </c>
      <c r="E3" t="s">
        <v>285</v>
      </c>
      <c r="F3" t="s">
        <v>282</v>
      </c>
      <c r="G3">
        <v>1.1519999999999999</v>
      </c>
      <c r="H3">
        <v>499.79</v>
      </c>
      <c r="I3" s="6">
        <v>45488</v>
      </c>
      <c r="K3" s="6"/>
      <c r="N3" t="s">
        <v>46</v>
      </c>
      <c r="P3" t="s">
        <v>79</v>
      </c>
    </row>
    <row r="4" spans="1:16" x14ac:dyDescent="0.3">
      <c r="B4" t="s">
        <v>279</v>
      </c>
      <c r="C4" t="s">
        <v>305</v>
      </c>
      <c r="D4" t="s">
        <v>284</v>
      </c>
      <c r="E4" t="s">
        <v>294</v>
      </c>
      <c r="F4" t="s">
        <v>282</v>
      </c>
      <c r="G4">
        <v>67.385000000000005</v>
      </c>
      <c r="H4">
        <v>5999</v>
      </c>
      <c r="I4" s="6">
        <v>45488</v>
      </c>
      <c r="K4" s="6"/>
      <c r="N4" t="s">
        <v>46</v>
      </c>
      <c r="P4" t="s">
        <v>79</v>
      </c>
    </row>
    <row r="5" spans="1:16" x14ac:dyDescent="0.3">
      <c r="B5" t="s">
        <v>287</v>
      </c>
      <c r="C5" t="s">
        <v>304</v>
      </c>
      <c r="D5" t="s">
        <v>296</v>
      </c>
      <c r="E5" t="s">
        <v>281</v>
      </c>
      <c r="F5" t="s">
        <v>106</v>
      </c>
      <c r="J5">
        <v>2000</v>
      </c>
      <c r="L5" t="s">
        <v>286</v>
      </c>
      <c r="M5" t="s">
        <v>90</v>
      </c>
      <c r="N5" t="s">
        <v>46</v>
      </c>
      <c r="P5" t="s">
        <v>79</v>
      </c>
    </row>
    <row r="6" spans="1:16" x14ac:dyDescent="0.3">
      <c r="B6" t="s">
        <v>288</v>
      </c>
      <c r="C6" t="s">
        <v>303</v>
      </c>
      <c r="D6" t="s">
        <v>297</v>
      </c>
      <c r="E6" t="s">
        <v>281</v>
      </c>
      <c r="F6" t="s">
        <v>106</v>
      </c>
      <c r="J6">
        <v>300</v>
      </c>
      <c r="K6" s="6">
        <v>45975</v>
      </c>
      <c r="L6" t="s">
        <v>286</v>
      </c>
      <c r="M6" t="s">
        <v>90</v>
      </c>
      <c r="N6" t="s">
        <v>46</v>
      </c>
      <c r="P6" t="s">
        <v>79</v>
      </c>
    </row>
    <row r="7" spans="1:16" x14ac:dyDescent="0.3">
      <c r="B7" t="s">
        <v>289</v>
      </c>
      <c r="C7" t="s">
        <v>302</v>
      </c>
      <c r="D7" t="s">
        <v>280</v>
      </c>
      <c r="E7" t="s">
        <v>281</v>
      </c>
      <c r="F7" t="s">
        <v>106</v>
      </c>
      <c r="J7">
        <v>500</v>
      </c>
      <c r="K7" s="6">
        <v>45975</v>
      </c>
      <c r="L7" t="s">
        <v>286</v>
      </c>
      <c r="M7" t="s">
        <v>90</v>
      </c>
      <c r="N7" t="s">
        <v>46</v>
      </c>
      <c r="P7" t="s">
        <v>79</v>
      </c>
    </row>
    <row r="8" spans="1:16" x14ac:dyDescent="0.3">
      <c r="B8" t="s">
        <v>290</v>
      </c>
      <c r="C8" t="s">
        <v>301</v>
      </c>
      <c r="D8" t="s">
        <v>299</v>
      </c>
      <c r="E8" t="s">
        <v>295</v>
      </c>
      <c r="F8" t="s">
        <v>106</v>
      </c>
      <c r="J8">
        <v>500</v>
      </c>
      <c r="K8" s="6">
        <v>45975</v>
      </c>
      <c r="L8" t="s">
        <v>286</v>
      </c>
      <c r="M8" t="s">
        <v>90</v>
      </c>
      <c r="N8" t="s">
        <v>46</v>
      </c>
      <c r="P8" t="s">
        <v>79</v>
      </c>
    </row>
    <row r="9" spans="1:16" x14ac:dyDescent="0.3">
      <c r="B9" t="s">
        <v>291</v>
      </c>
      <c r="C9" t="s">
        <v>300</v>
      </c>
      <c r="D9" t="s">
        <v>297</v>
      </c>
      <c r="E9" t="s">
        <v>281</v>
      </c>
      <c r="F9" t="s">
        <v>106</v>
      </c>
      <c r="J9">
        <v>500</v>
      </c>
      <c r="K9" s="6">
        <v>45975</v>
      </c>
      <c r="L9" t="s">
        <v>286</v>
      </c>
      <c r="M9" t="s">
        <v>90</v>
      </c>
      <c r="N9" t="s">
        <v>46</v>
      </c>
      <c r="P9" t="s">
        <v>79</v>
      </c>
    </row>
    <row r="10" spans="1:16" x14ac:dyDescent="0.3">
      <c r="B10" t="s">
        <v>292</v>
      </c>
      <c r="C10" t="s">
        <v>283</v>
      </c>
      <c r="D10" t="s">
        <v>298</v>
      </c>
      <c r="E10" t="s">
        <v>281</v>
      </c>
      <c r="F10" t="s">
        <v>106</v>
      </c>
      <c r="J10">
        <v>100</v>
      </c>
      <c r="K10" s="6">
        <v>45975</v>
      </c>
      <c r="L10" t="s">
        <v>286</v>
      </c>
      <c r="M10" t="s">
        <v>90</v>
      </c>
      <c r="N10" t="s">
        <v>46</v>
      </c>
      <c r="P10" t="s">
        <v>79</v>
      </c>
    </row>
    <row r="11" spans="1:16" x14ac:dyDescent="0.3">
      <c r="B11" t="s">
        <v>293</v>
      </c>
      <c r="C11" t="s">
        <v>283</v>
      </c>
      <c r="D11" t="s">
        <v>297</v>
      </c>
      <c r="E11" t="s">
        <v>281</v>
      </c>
      <c r="F11" t="s">
        <v>106</v>
      </c>
      <c r="J11">
        <v>100</v>
      </c>
      <c r="K11" s="6">
        <v>45975</v>
      </c>
      <c r="L11" t="s">
        <v>286</v>
      </c>
      <c r="M11" t="s">
        <v>90</v>
      </c>
      <c r="N11" t="s">
        <v>46</v>
      </c>
      <c r="P11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J3" sqref="J3"/>
    </sheetView>
  </sheetViews>
  <sheetFormatPr defaultRowHeight="14.4" x14ac:dyDescent="0.3"/>
  <cols>
    <col min="1" max="1" width="12" customWidth="1"/>
    <col min="2" max="2" width="15" customWidth="1"/>
    <col min="3" max="3" width="20" customWidth="1"/>
    <col min="4" max="4" width="15" customWidth="1"/>
    <col min="5" max="5" width="14" customWidth="1"/>
    <col min="6" max="6" width="12" customWidth="1"/>
    <col min="7" max="8" width="15" customWidth="1"/>
    <col min="9" max="9" width="20" customWidth="1"/>
    <col min="10" max="10" width="12" customWidth="1"/>
  </cols>
  <sheetData>
    <row r="1" spans="1:10" x14ac:dyDescent="0.3">
      <c r="A1" s="3" t="s">
        <v>71</v>
      </c>
      <c r="B1" s="3" t="s">
        <v>16</v>
      </c>
      <c r="C1" s="3" t="s">
        <v>17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24</v>
      </c>
      <c r="J1" s="3" t="s">
        <v>77</v>
      </c>
    </row>
    <row r="2" spans="1:10" x14ac:dyDescent="0.3">
      <c r="A2" s="2" t="s">
        <v>78</v>
      </c>
      <c r="B2" s="2" t="s">
        <v>80</v>
      </c>
      <c r="C2" s="2" t="s">
        <v>81</v>
      </c>
      <c r="D2" s="2">
        <v>2200000</v>
      </c>
      <c r="E2" s="2">
        <v>8.5</v>
      </c>
      <c r="F2" s="2">
        <v>35950</v>
      </c>
      <c r="G2" s="6">
        <v>44799</v>
      </c>
      <c r="H2" s="6">
        <v>47325</v>
      </c>
      <c r="I2" s="2" t="s">
        <v>307</v>
      </c>
      <c r="J2" s="2" t="s">
        <v>79</v>
      </c>
    </row>
    <row r="3" spans="1:10" x14ac:dyDescent="0.3">
      <c r="A3" s="2" t="s">
        <v>82</v>
      </c>
      <c r="B3" s="2" t="s">
        <v>83</v>
      </c>
      <c r="C3" s="2" t="s">
        <v>308</v>
      </c>
      <c r="D3" s="2">
        <v>100000</v>
      </c>
      <c r="E3" s="2">
        <v>48</v>
      </c>
      <c r="F3" s="2">
        <v>0</v>
      </c>
      <c r="G3" s="2"/>
      <c r="H3" s="2"/>
      <c r="I3" s="2" t="s">
        <v>84</v>
      </c>
      <c r="J3" s="2" t="s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sqref="A1:I18"/>
    </sheetView>
  </sheetViews>
  <sheetFormatPr defaultRowHeight="14.4" x14ac:dyDescent="0.3"/>
  <cols>
    <col min="1" max="1" width="10" customWidth="1"/>
    <col min="2" max="2" width="15" customWidth="1"/>
    <col min="3" max="3" width="32" bestFit="1" customWidth="1"/>
    <col min="4" max="4" width="20" customWidth="1"/>
    <col min="5" max="6" width="12" customWidth="1"/>
    <col min="7" max="7" width="15" customWidth="1"/>
    <col min="8" max="8" width="20" customWidth="1"/>
    <col min="9" max="9" width="10" customWidth="1"/>
  </cols>
  <sheetData>
    <row r="1" spans="1:9" ht="28.8" x14ac:dyDescent="0.3">
      <c r="A1" s="3" t="s">
        <v>85</v>
      </c>
      <c r="B1" s="3" t="s">
        <v>16</v>
      </c>
      <c r="C1" s="3" t="s">
        <v>17</v>
      </c>
      <c r="D1" s="3" t="s">
        <v>86</v>
      </c>
      <c r="E1" s="3" t="s">
        <v>72</v>
      </c>
      <c r="F1" s="3" t="s">
        <v>326</v>
      </c>
      <c r="G1" s="3" t="s">
        <v>327</v>
      </c>
      <c r="H1" s="3" t="s">
        <v>87</v>
      </c>
      <c r="I1" s="3" t="s">
        <v>24</v>
      </c>
    </row>
    <row r="2" spans="1:9" x14ac:dyDescent="0.3">
      <c r="A2" s="2" t="s">
        <v>88</v>
      </c>
      <c r="B2" s="2" t="s">
        <v>89</v>
      </c>
      <c r="C2" s="2" t="s">
        <v>309</v>
      </c>
      <c r="D2" s="2" t="s">
        <v>90</v>
      </c>
      <c r="E2" s="2">
        <v>79167</v>
      </c>
      <c r="F2" s="2" t="s">
        <v>340</v>
      </c>
      <c r="G2" s="2"/>
      <c r="H2" s="2" t="s">
        <v>46</v>
      </c>
      <c r="I2" s="2"/>
    </row>
    <row r="3" spans="1:9" x14ac:dyDescent="0.3">
      <c r="A3" s="2" t="s">
        <v>92</v>
      </c>
      <c r="B3" s="2" t="s">
        <v>89</v>
      </c>
      <c r="C3" s="2" t="s">
        <v>310</v>
      </c>
      <c r="D3" s="2" t="s">
        <v>90</v>
      </c>
      <c r="E3" s="2">
        <v>39583</v>
      </c>
      <c r="F3" s="2"/>
      <c r="G3" s="2"/>
      <c r="H3" s="2"/>
      <c r="I3" s="2"/>
    </row>
    <row r="4" spans="1:9" x14ac:dyDescent="0.3">
      <c r="A4" s="2" t="s">
        <v>93</v>
      </c>
      <c r="B4" s="2" t="s">
        <v>89</v>
      </c>
      <c r="C4" s="2" t="s">
        <v>311</v>
      </c>
      <c r="D4" s="2" t="s">
        <v>90</v>
      </c>
      <c r="E4" s="2">
        <v>16493</v>
      </c>
      <c r="F4" s="2"/>
      <c r="G4" s="2"/>
      <c r="H4" s="2"/>
      <c r="I4" s="2"/>
    </row>
    <row r="5" spans="1:9" x14ac:dyDescent="0.3">
      <c r="A5" s="2" t="s">
        <v>94</v>
      </c>
      <c r="B5" s="2" t="s">
        <v>89</v>
      </c>
      <c r="C5" s="2" t="s">
        <v>312</v>
      </c>
      <c r="D5" s="2" t="s">
        <v>90</v>
      </c>
      <c r="E5" s="2">
        <v>2400</v>
      </c>
      <c r="F5" s="2"/>
      <c r="G5" s="2"/>
      <c r="H5" s="2"/>
      <c r="I5" s="2"/>
    </row>
    <row r="6" spans="1:9" x14ac:dyDescent="0.3">
      <c r="A6" s="2" t="s">
        <v>95</v>
      </c>
      <c r="B6" s="2" t="s">
        <v>89</v>
      </c>
      <c r="C6" s="2" t="s">
        <v>313</v>
      </c>
      <c r="D6" s="2" t="s">
        <v>90</v>
      </c>
      <c r="E6" s="2">
        <v>1250</v>
      </c>
      <c r="F6" s="2"/>
      <c r="G6" s="2"/>
      <c r="H6" s="2"/>
      <c r="I6" s="2"/>
    </row>
    <row r="7" spans="1:9" x14ac:dyDescent="0.3">
      <c r="A7" s="2" t="s">
        <v>328</v>
      </c>
      <c r="B7" s="2" t="s">
        <v>89</v>
      </c>
      <c r="C7" s="2" t="s">
        <v>314</v>
      </c>
      <c r="D7" s="2" t="s">
        <v>90</v>
      </c>
      <c r="E7" s="2">
        <v>2000</v>
      </c>
      <c r="F7" s="2"/>
      <c r="G7" s="2"/>
      <c r="H7" s="2"/>
      <c r="I7" s="2"/>
    </row>
    <row r="8" spans="1:9" x14ac:dyDescent="0.3">
      <c r="A8" s="2" t="s">
        <v>329</v>
      </c>
      <c r="B8" s="2" t="s">
        <v>89</v>
      </c>
      <c r="C8" s="2" t="s">
        <v>315</v>
      </c>
      <c r="D8" s="2" t="s">
        <v>90</v>
      </c>
      <c r="E8" s="2">
        <v>7944</v>
      </c>
      <c r="F8" s="2"/>
      <c r="G8" s="2"/>
      <c r="H8" s="2"/>
      <c r="I8" s="2"/>
    </row>
    <row r="9" spans="1:9" x14ac:dyDescent="0.3">
      <c r="A9" s="2" t="s">
        <v>330</v>
      </c>
      <c r="B9" s="2" t="s">
        <v>89</v>
      </c>
      <c r="C9" s="2" t="s">
        <v>316</v>
      </c>
      <c r="D9" s="2" t="s">
        <v>90</v>
      </c>
      <c r="E9" s="2">
        <v>13333</v>
      </c>
      <c r="F9" s="2"/>
      <c r="G9" s="2"/>
      <c r="H9" s="2" t="s">
        <v>46</v>
      </c>
      <c r="I9" s="2"/>
    </row>
    <row r="10" spans="1:9" x14ac:dyDescent="0.3">
      <c r="A10" s="2" t="s">
        <v>331</v>
      </c>
      <c r="B10" s="2" t="s">
        <v>89</v>
      </c>
      <c r="C10" s="2" t="s">
        <v>317</v>
      </c>
      <c r="D10" s="2" t="s">
        <v>90</v>
      </c>
      <c r="E10" s="2">
        <v>4000</v>
      </c>
      <c r="F10" s="2"/>
      <c r="G10" s="2"/>
      <c r="H10" s="2"/>
      <c r="I10" s="2"/>
    </row>
    <row r="11" spans="1:9" x14ac:dyDescent="0.3">
      <c r="A11" s="2" t="s">
        <v>332</v>
      </c>
      <c r="B11" s="2" t="s">
        <v>89</v>
      </c>
      <c r="C11" s="2" t="s">
        <v>318</v>
      </c>
      <c r="D11" s="2" t="s">
        <v>90</v>
      </c>
      <c r="E11" s="2">
        <v>3000</v>
      </c>
      <c r="F11" s="2"/>
      <c r="G11" s="2"/>
      <c r="H11" s="2"/>
      <c r="I11" s="2"/>
    </row>
    <row r="12" spans="1:9" x14ac:dyDescent="0.3">
      <c r="A12" s="2" t="s">
        <v>333</v>
      </c>
      <c r="B12" s="2" t="s">
        <v>89</v>
      </c>
      <c r="C12" s="2" t="s">
        <v>319</v>
      </c>
      <c r="D12" s="2" t="s">
        <v>90</v>
      </c>
      <c r="E12" s="2">
        <v>-134</v>
      </c>
      <c r="F12" s="2"/>
      <c r="G12" s="2"/>
      <c r="H12" s="2"/>
      <c r="I12" s="2"/>
    </row>
    <row r="13" spans="1:9" x14ac:dyDescent="0.3">
      <c r="A13" s="2" t="s">
        <v>334</v>
      </c>
      <c r="B13" s="2" t="s">
        <v>89</v>
      </c>
      <c r="C13" s="2" t="s">
        <v>320</v>
      </c>
      <c r="D13" s="2" t="s">
        <v>90</v>
      </c>
      <c r="E13" s="2">
        <v>-9500</v>
      </c>
      <c r="F13" s="2"/>
      <c r="G13" s="2"/>
      <c r="H13" s="2"/>
      <c r="I13" s="2"/>
    </row>
    <row r="14" spans="1:9" x14ac:dyDescent="0.3">
      <c r="A14" s="2" t="s">
        <v>335</v>
      </c>
      <c r="B14" s="2" t="s">
        <v>89</v>
      </c>
      <c r="C14" s="2" t="s">
        <v>321</v>
      </c>
      <c r="D14" s="2" t="s">
        <v>90</v>
      </c>
      <c r="E14" s="2">
        <v>-228</v>
      </c>
      <c r="F14" s="2"/>
      <c r="G14" s="2"/>
      <c r="H14" s="2"/>
      <c r="I14" s="2"/>
    </row>
    <row r="15" spans="1:9" x14ac:dyDescent="0.3">
      <c r="A15" s="2" t="s">
        <v>336</v>
      </c>
      <c r="B15" s="2" t="s">
        <v>89</v>
      </c>
      <c r="C15" s="2" t="s">
        <v>322</v>
      </c>
      <c r="D15" s="2" t="s">
        <v>90</v>
      </c>
      <c r="E15" s="2">
        <v>-7917</v>
      </c>
      <c r="F15" s="2"/>
      <c r="G15" t="s">
        <v>341</v>
      </c>
      <c r="H15" s="2" t="s">
        <v>46</v>
      </c>
      <c r="I15" s="2"/>
    </row>
    <row r="16" spans="1:9" x14ac:dyDescent="0.3">
      <c r="A16" s="2" t="s">
        <v>337</v>
      </c>
      <c r="B16" s="2" t="s">
        <v>89</v>
      </c>
      <c r="C16" s="2" t="s">
        <v>323</v>
      </c>
      <c r="D16" s="2" t="s">
        <v>90</v>
      </c>
      <c r="E16" s="2">
        <v>-17619</v>
      </c>
      <c r="F16" s="2"/>
      <c r="G16" s="2"/>
      <c r="H16" s="2"/>
      <c r="I16" s="2"/>
    </row>
    <row r="17" spans="1:9" x14ac:dyDescent="0.3">
      <c r="A17" s="2" t="s">
        <v>338</v>
      </c>
      <c r="B17" s="2" t="s">
        <v>89</v>
      </c>
      <c r="C17" s="2" t="s">
        <v>324</v>
      </c>
      <c r="D17" s="2" t="s">
        <v>90</v>
      </c>
      <c r="E17" s="2">
        <v>-1646</v>
      </c>
      <c r="F17" s="2"/>
      <c r="G17" t="s">
        <v>341</v>
      </c>
      <c r="H17" s="2" t="s">
        <v>46</v>
      </c>
      <c r="I17" s="2"/>
    </row>
    <row r="18" spans="1:9" x14ac:dyDescent="0.3">
      <c r="A18" s="2" t="s">
        <v>339</v>
      </c>
      <c r="B18" s="2" t="s">
        <v>89</v>
      </c>
      <c r="C18" s="2" t="s">
        <v>325</v>
      </c>
      <c r="D18" s="2" t="s">
        <v>90</v>
      </c>
      <c r="E18" s="2">
        <v>-844</v>
      </c>
      <c r="F18" s="2"/>
      <c r="G18" s="2" t="s">
        <v>342</v>
      </c>
      <c r="H18" s="2" t="s">
        <v>46</v>
      </c>
      <c r="I18" s="2"/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>
      <selection activeCell="A2" sqref="A2"/>
    </sheetView>
  </sheetViews>
  <sheetFormatPr defaultRowHeight="14.4" x14ac:dyDescent="0.3"/>
  <cols>
    <col min="1" max="1" width="10" customWidth="1"/>
    <col min="2" max="2" width="15.44140625" bestFit="1" customWidth="1"/>
    <col min="3" max="3" width="20" customWidth="1"/>
    <col min="4" max="5" width="12" customWidth="1"/>
    <col min="6" max="6" width="27.44140625" bestFit="1" customWidth="1"/>
    <col min="7" max="7" width="15" customWidth="1"/>
    <col min="8" max="8" width="20" customWidth="1"/>
    <col min="9" max="9" width="12" customWidth="1"/>
  </cols>
  <sheetData>
    <row r="1" spans="1:9" ht="28.8" x14ac:dyDescent="0.3">
      <c r="A1" s="3" t="s">
        <v>96</v>
      </c>
      <c r="B1" s="3" t="s">
        <v>16</v>
      </c>
      <c r="C1" s="3" t="s">
        <v>17</v>
      </c>
      <c r="D1" s="3" t="s">
        <v>86</v>
      </c>
      <c r="E1" s="3" t="s">
        <v>72</v>
      </c>
      <c r="F1" s="3" t="s">
        <v>75</v>
      </c>
      <c r="G1" s="3" t="s">
        <v>76</v>
      </c>
      <c r="H1" s="3" t="s">
        <v>24</v>
      </c>
      <c r="I1" s="3" t="s">
        <v>77</v>
      </c>
    </row>
    <row r="2" spans="1:9" x14ac:dyDescent="0.3">
      <c r="A2" s="2" t="s">
        <v>97</v>
      </c>
      <c r="B2" t="s">
        <v>358</v>
      </c>
      <c r="C2" t="s">
        <v>352</v>
      </c>
      <c r="D2" t="s">
        <v>90</v>
      </c>
      <c r="E2">
        <v>5000</v>
      </c>
      <c r="F2" t="s">
        <v>385</v>
      </c>
      <c r="G2" t="s">
        <v>91</v>
      </c>
      <c r="I2" s="2" t="s">
        <v>79</v>
      </c>
    </row>
    <row r="3" spans="1:9" x14ac:dyDescent="0.3">
      <c r="A3" s="2" t="s">
        <v>99</v>
      </c>
      <c r="B3" t="s">
        <v>358</v>
      </c>
      <c r="C3" t="s">
        <v>352</v>
      </c>
      <c r="D3" t="s">
        <v>90</v>
      </c>
      <c r="E3">
        <v>5000</v>
      </c>
      <c r="F3" t="s">
        <v>385</v>
      </c>
      <c r="G3" t="s">
        <v>91</v>
      </c>
      <c r="I3" s="2" t="s">
        <v>79</v>
      </c>
    </row>
    <row r="4" spans="1:9" x14ac:dyDescent="0.3">
      <c r="A4" s="2" t="s">
        <v>100</v>
      </c>
      <c r="B4" t="s">
        <v>359</v>
      </c>
      <c r="C4" t="s">
        <v>353</v>
      </c>
      <c r="D4" t="s">
        <v>90</v>
      </c>
      <c r="E4">
        <v>2000</v>
      </c>
      <c r="F4" t="s">
        <v>385</v>
      </c>
      <c r="G4" t="s">
        <v>91</v>
      </c>
      <c r="I4" s="2" t="s">
        <v>79</v>
      </c>
    </row>
    <row r="5" spans="1:9" x14ac:dyDescent="0.3">
      <c r="A5" s="2" t="s">
        <v>104</v>
      </c>
      <c r="B5" t="s">
        <v>359</v>
      </c>
      <c r="C5" t="s">
        <v>354</v>
      </c>
      <c r="D5" t="s">
        <v>90</v>
      </c>
      <c r="E5">
        <v>2000</v>
      </c>
      <c r="F5" t="s">
        <v>385</v>
      </c>
      <c r="G5" t="s">
        <v>91</v>
      </c>
      <c r="I5" s="2" t="s">
        <v>79</v>
      </c>
    </row>
    <row r="6" spans="1:9" x14ac:dyDescent="0.3">
      <c r="A6" s="2" t="s">
        <v>105</v>
      </c>
      <c r="B6" t="s">
        <v>359</v>
      </c>
      <c r="C6" t="s">
        <v>355</v>
      </c>
      <c r="D6" t="s">
        <v>90</v>
      </c>
      <c r="E6">
        <v>2000</v>
      </c>
      <c r="F6" t="s">
        <v>385</v>
      </c>
      <c r="G6" t="s">
        <v>91</v>
      </c>
      <c r="I6" s="2" t="s">
        <v>79</v>
      </c>
    </row>
    <row r="7" spans="1:9" x14ac:dyDescent="0.3">
      <c r="A7" s="2" t="s">
        <v>368</v>
      </c>
      <c r="B7" t="s">
        <v>358</v>
      </c>
      <c r="C7" t="s">
        <v>356</v>
      </c>
      <c r="D7" t="s">
        <v>90</v>
      </c>
      <c r="E7">
        <v>1000</v>
      </c>
      <c r="F7" t="s">
        <v>385</v>
      </c>
      <c r="G7" t="s">
        <v>91</v>
      </c>
      <c r="I7" s="2" t="s">
        <v>79</v>
      </c>
    </row>
    <row r="8" spans="1:9" x14ac:dyDescent="0.3">
      <c r="A8" s="2" t="s">
        <v>369</v>
      </c>
      <c r="B8" t="s">
        <v>358</v>
      </c>
      <c r="C8" t="s">
        <v>356</v>
      </c>
      <c r="D8" t="s">
        <v>90</v>
      </c>
      <c r="E8">
        <v>1000</v>
      </c>
      <c r="F8" t="s">
        <v>385</v>
      </c>
      <c r="G8" t="s">
        <v>91</v>
      </c>
      <c r="I8" s="2" t="s">
        <v>79</v>
      </c>
    </row>
    <row r="9" spans="1:9" x14ac:dyDescent="0.3">
      <c r="A9" s="2" t="s">
        <v>370</v>
      </c>
      <c r="B9" t="s">
        <v>358</v>
      </c>
      <c r="C9" t="s">
        <v>357</v>
      </c>
      <c r="D9" t="s">
        <v>90</v>
      </c>
      <c r="E9">
        <v>500</v>
      </c>
      <c r="F9" t="s">
        <v>385</v>
      </c>
      <c r="G9" t="s">
        <v>91</v>
      </c>
      <c r="I9" s="2" t="s">
        <v>79</v>
      </c>
    </row>
    <row r="10" spans="1:9" x14ac:dyDescent="0.3">
      <c r="A10" s="2" t="s">
        <v>371</v>
      </c>
      <c r="B10" s="13" t="s">
        <v>360</v>
      </c>
      <c r="C10" t="s">
        <v>98</v>
      </c>
      <c r="D10" t="s">
        <v>90</v>
      </c>
      <c r="E10">
        <v>18500</v>
      </c>
      <c r="F10" t="s">
        <v>385</v>
      </c>
      <c r="G10" t="s">
        <v>91</v>
      </c>
      <c r="I10" s="2" t="s">
        <v>79</v>
      </c>
    </row>
    <row r="11" spans="1:9" x14ac:dyDescent="0.3">
      <c r="A11" s="2" t="s">
        <v>372</v>
      </c>
      <c r="B11" s="13" t="s">
        <v>360</v>
      </c>
      <c r="C11" t="s">
        <v>343</v>
      </c>
      <c r="D11" t="s">
        <v>90</v>
      </c>
      <c r="E11">
        <v>2000</v>
      </c>
      <c r="F11" t="s">
        <v>385</v>
      </c>
      <c r="G11" t="s">
        <v>91</v>
      </c>
      <c r="I11" s="2" t="s">
        <v>79</v>
      </c>
    </row>
    <row r="12" spans="1:9" x14ac:dyDescent="0.3">
      <c r="A12" s="2" t="s">
        <v>373</v>
      </c>
      <c r="B12" s="13" t="s">
        <v>360</v>
      </c>
      <c r="C12" t="s">
        <v>344</v>
      </c>
      <c r="D12" t="s">
        <v>90</v>
      </c>
      <c r="E12">
        <v>900</v>
      </c>
      <c r="F12" t="s">
        <v>385</v>
      </c>
      <c r="G12" t="s">
        <v>91</v>
      </c>
      <c r="I12" s="2" t="s">
        <v>79</v>
      </c>
    </row>
    <row r="13" spans="1:9" x14ac:dyDescent="0.3">
      <c r="A13" s="2" t="s">
        <v>374</v>
      </c>
      <c r="B13" s="13" t="s">
        <v>360</v>
      </c>
      <c r="C13" t="s">
        <v>345</v>
      </c>
      <c r="D13" t="s">
        <v>90</v>
      </c>
      <c r="E13">
        <v>10000</v>
      </c>
      <c r="F13" t="s">
        <v>385</v>
      </c>
      <c r="G13" t="s">
        <v>91</v>
      </c>
      <c r="I13" s="2" t="s">
        <v>79</v>
      </c>
    </row>
    <row r="14" spans="1:9" x14ac:dyDescent="0.3">
      <c r="A14" s="2" t="s">
        <v>375</v>
      </c>
      <c r="B14" s="13" t="s">
        <v>74</v>
      </c>
      <c r="C14" t="s">
        <v>307</v>
      </c>
      <c r="D14" t="s">
        <v>90</v>
      </c>
      <c r="E14">
        <v>35950</v>
      </c>
      <c r="F14" t="s">
        <v>386</v>
      </c>
      <c r="G14" t="s">
        <v>91</v>
      </c>
      <c r="I14" s="2" t="s">
        <v>79</v>
      </c>
    </row>
    <row r="15" spans="1:9" x14ac:dyDescent="0.3">
      <c r="A15" s="2" t="s">
        <v>376</v>
      </c>
      <c r="B15" s="13" t="s">
        <v>360</v>
      </c>
      <c r="C15" t="s">
        <v>346</v>
      </c>
      <c r="D15" t="s">
        <v>90</v>
      </c>
      <c r="E15">
        <v>219</v>
      </c>
      <c r="F15" t="s">
        <v>385</v>
      </c>
      <c r="G15" t="s">
        <v>91</v>
      </c>
      <c r="I15" s="2" t="s">
        <v>79</v>
      </c>
    </row>
    <row r="16" spans="1:9" x14ac:dyDescent="0.3">
      <c r="A16" s="2" t="s">
        <v>377</v>
      </c>
      <c r="B16" s="13" t="s">
        <v>360</v>
      </c>
      <c r="C16" t="s">
        <v>347</v>
      </c>
      <c r="D16" t="s">
        <v>90</v>
      </c>
      <c r="E16">
        <v>499</v>
      </c>
      <c r="F16" t="s">
        <v>385</v>
      </c>
      <c r="G16" t="s">
        <v>91</v>
      </c>
      <c r="I16" s="2" t="s">
        <v>79</v>
      </c>
    </row>
    <row r="17" spans="1:9" x14ac:dyDescent="0.3">
      <c r="A17" s="2" t="s">
        <v>378</v>
      </c>
      <c r="B17" s="13" t="s">
        <v>360</v>
      </c>
      <c r="C17" t="s">
        <v>348</v>
      </c>
      <c r="D17" t="s">
        <v>90</v>
      </c>
      <c r="E17">
        <v>706</v>
      </c>
      <c r="F17" t="s">
        <v>385</v>
      </c>
      <c r="G17" t="s">
        <v>91</v>
      </c>
      <c r="I17" s="2" t="s">
        <v>79</v>
      </c>
    </row>
    <row r="18" spans="1:9" x14ac:dyDescent="0.3">
      <c r="A18" s="2" t="s">
        <v>379</v>
      </c>
      <c r="B18" s="13" t="s">
        <v>361</v>
      </c>
      <c r="C18" t="s">
        <v>349</v>
      </c>
      <c r="D18" t="s">
        <v>365</v>
      </c>
      <c r="E18">
        <v>2999</v>
      </c>
      <c r="F18" t="s">
        <v>386</v>
      </c>
      <c r="G18" t="s">
        <v>91</v>
      </c>
      <c r="I18" s="2" t="s">
        <v>79</v>
      </c>
    </row>
    <row r="19" spans="1:9" x14ac:dyDescent="0.3">
      <c r="A19" s="2" t="s">
        <v>380</v>
      </c>
      <c r="B19" s="13" t="s">
        <v>361</v>
      </c>
      <c r="C19" t="s">
        <v>350</v>
      </c>
      <c r="D19" t="s">
        <v>365</v>
      </c>
      <c r="E19">
        <v>1849</v>
      </c>
      <c r="F19" t="s">
        <v>386</v>
      </c>
      <c r="G19" t="s">
        <v>91</v>
      </c>
      <c r="I19" s="2" t="s">
        <v>79</v>
      </c>
    </row>
    <row r="20" spans="1:9" x14ac:dyDescent="0.3">
      <c r="A20" s="2" t="s">
        <v>381</v>
      </c>
      <c r="B20" s="13" t="s">
        <v>361</v>
      </c>
      <c r="C20" t="s">
        <v>351</v>
      </c>
      <c r="D20" t="s">
        <v>365</v>
      </c>
      <c r="E20">
        <v>1499</v>
      </c>
      <c r="F20" t="s">
        <v>386</v>
      </c>
      <c r="G20" t="s">
        <v>91</v>
      </c>
      <c r="I20" s="2" t="s">
        <v>79</v>
      </c>
    </row>
    <row r="21" spans="1:9" x14ac:dyDescent="0.3">
      <c r="A21" s="2" t="s">
        <v>382</v>
      </c>
      <c r="B21" s="13" t="s">
        <v>361</v>
      </c>
      <c r="C21" t="s">
        <v>362</v>
      </c>
      <c r="D21" t="s">
        <v>365</v>
      </c>
      <c r="E21">
        <v>26881</v>
      </c>
      <c r="F21" t="s">
        <v>387</v>
      </c>
      <c r="G21" t="s">
        <v>91</v>
      </c>
      <c r="I21" s="2" t="s">
        <v>79</v>
      </c>
    </row>
    <row r="22" spans="1:9" x14ac:dyDescent="0.3">
      <c r="A22" s="2" t="s">
        <v>383</v>
      </c>
      <c r="B22" s="13" t="s">
        <v>361</v>
      </c>
      <c r="C22" t="s">
        <v>363</v>
      </c>
      <c r="D22" t="s">
        <v>366</v>
      </c>
      <c r="E22">
        <v>75000</v>
      </c>
      <c r="F22" t="s">
        <v>388</v>
      </c>
      <c r="G22" t="s">
        <v>91</v>
      </c>
      <c r="I22" s="2" t="s">
        <v>79</v>
      </c>
    </row>
    <row r="23" spans="1:9" x14ac:dyDescent="0.3">
      <c r="A23" s="2" t="s">
        <v>384</v>
      </c>
      <c r="B23" s="13" t="s">
        <v>361</v>
      </c>
      <c r="C23" t="s">
        <v>364</v>
      </c>
      <c r="D23" t="s">
        <v>367</v>
      </c>
      <c r="E23">
        <v>15000</v>
      </c>
      <c r="F23" t="s">
        <v>389</v>
      </c>
      <c r="G23" t="s">
        <v>91</v>
      </c>
      <c r="I23" s="2" t="s">
        <v>79</v>
      </c>
    </row>
    <row r="24" spans="1:9" x14ac:dyDescent="0.3">
      <c r="A24" s="2" t="s">
        <v>392</v>
      </c>
      <c r="B24" t="s">
        <v>101</v>
      </c>
      <c r="C24" t="s">
        <v>102</v>
      </c>
      <c r="D24" t="s">
        <v>391</v>
      </c>
      <c r="E24">
        <v>1000</v>
      </c>
      <c r="F24" t="s">
        <v>390</v>
      </c>
      <c r="G24" t="s">
        <v>91</v>
      </c>
      <c r="I24" t="s">
        <v>103</v>
      </c>
    </row>
  </sheetData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E3" sqref="E3"/>
    </sheetView>
  </sheetViews>
  <sheetFormatPr defaultRowHeight="14.4" x14ac:dyDescent="0.3"/>
  <cols>
    <col min="1" max="1" width="10" customWidth="1"/>
    <col min="2" max="2" width="15" customWidth="1"/>
    <col min="3" max="3" width="20" customWidth="1"/>
    <col min="4" max="4" width="12" customWidth="1"/>
    <col min="5" max="5" width="16" customWidth="1"/>
    <col min="6" max="6" width="20" customWidth="1"/>
    <col min="7" max="7" width="12" customWidth="1"/>
  </cols>
  <sheetData>
    <row r="1" spans="1:7" ht="28.8" x14ac:dyDescent="0.3">
      <c r="A1" s="3" t="s">
        <v>96</v>
      </c>
      <c r="B1" s="3" t="s">
        <v>16</v>
      </c>
      <c r="C1" s="3" t="s">
        <v>17</v>
      </c>
      <c r="D1" s="3" t="s">
        <v>86</v>
      </c>
      <c r="E1" s="3" t="s">
        <v>107</v>
      </c>
      <c r="F1" s="3" t="s">
        <v>24</v>
      </c>
      <c r="G1" s="3" t="s">
        <v>108</v>
      </c>
    </row>
    <row r="2" spans="1:7" x14ac:dyDescent="0.3">
      <c r="A2" s="2" t="s">
        <v>109</v>
      </c>
      <c r="B2" s="2" t="s">
        <v>396</v>
      </c>
      <c r="C2" s="2" t="s">
        <v>393</v>
      </c>
      <c r="D2" s="2" t="s">
        <v>90</v>
      </c>
      <c r="E2" s="2">
        <v>4000</v>
      </c>
      <c r="F2" s="2"/>
      <c r="G2" s="2" t="s">
        <v>46</v>
      </c>
    </row>
    <row r="3" spans="1:7" x14ac:dyDescent="0.3">
      <c r="A3" s="2" t="s">
        <v>111</v>
      </c>
      <c r="B3" s="14" t="s">
        <v>394</v>
      </c>
      <c r="C3" s="2" t="s">
        <v>112</v>
      </c>
      <c r="D3" s="2" t="s">
        <v>90</v>
      </c>
      <c r="E3" s="2">
        <v>6500</v>
      </c>
      <c r="F3" s="2"/>
      <c r="G3" s="2" t="s">
        <v>46</v>
      </c>
    </row>
    <row r="4" spans="1:7" x14ac:dyDescent="0.3">
      <c r="A4" s="2" t="s">
        <v>113</v>
      </c>
      <c r="B4" s="14" t="s">
        <v>114</v>
      </c>
      <c r="C4" s="2" t="s">
        <v>114</v>
      </c>
      <c r="D4" s="2" t="s">
        <v>90</v>
      </c>
      <c r="E4" s="2">
        <v>8000</v>
      </c>
      <c r="F4" s="2"/>
      <c r="G4" s="2" t="s">
        <v>46</v>
      </c>
    </row>
    <row r="5" spans="1:7" x14ac:dyDescent="0.3">
      <c r="A5" s="2" t="s">
        <v>115</v>
      </c>
      <c r="B5" s="14" t="s">
        <v>395</v>
      </c>
      <c r="C5" s="2" t="s">
        <v>395</v>
      </c>
      <c r="D5" s="2" t="s">
        <v>90</v>
      </c>
      <c r="E5" s="2">
        <v>2000</v>
      </c>
      <c r="F5" s="2"/>
      <c r="G5" s="2" t="s">
        <v>46</v>
      </c>
    </row>
    <row r="6" spans="1:7" x14ac:dyDescent="0.3">
      <c r="A6" s="2" t="s">
        <v>117</v>
      </c>
      <c r="B6" s="14" t="s">
        <v>110</v>
      </c>
      <c r="C6" s="14" t="s">
        <v>110</v>
      </c>
      <c r="D6" s="2" t="s">
        <v>90</v>
      </c>
      <c r="E6" s="2">
        <v>25000</v>
      </c>
      <c r="F6" s="2"/>
      <c r="G6" s="2" t="s">
        <v>46</v>
      </c>
    </row>
    <row r="7" spans="1:7" x14ac:dyDescent="0.3">
      <c r="A7" s="2" t="s">
        <v>398</v>
      </c>
      <c r="B7" s="15" t="s">
        <v>397</v>
      </c>
      <c r="C7" s="15" t="s">
        <v>397</v>
      </c>
      <c r="D7" s="2" t="s">
        <v>90</v>
      </c>
      <c r="E7" s="16">
        <v>10000</v>
      </c>
      <c r="F7" s="2"/>
      <c r="G7" s="2" t="s">
        <v>46</v>
      </c>
    </row>
    <row r="8" spans="1:7" x14ac:dyDescent="0.3">
      <c r="A8" s="2" t="s">
        <v>401</v>
      </c>
      <c r="B8" s="15" t="s">
        <v>399</v>
      </c>
      <c r="C8" s="16" t="s">
        <v>400</v>
      </c>
      <c r="D8" s="2" t="s">
        <v>90</v>
      </c>
      <c r="E8" s="16">
        <v>3000</v>
      </c>
      <c r="F8" s="2"/>
      <c r="G8" s="2" t="s">
        <v>46</v>
      </c>
    </row>
    <row r="9" spans="1:7" x14ac:dyDescent="0.3">
      <c r="A9" s="2" t="s">
        <v>402</v>
      </c>
      <c r="B9" s="15" t="s">
        <v>116</v>
      </c>
      <c r="C9" s="15" t="s">
        <v>116</v>
      </c>
      <c r="D9" s="2" t="s">
        <v>90</v>
      </c>
      <c r="E9" s="16">
        <v>1000</v>
      </c>
      <c r="F9" s="2"/>
      <c r="G9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ASSETS</vt:lpstr>
      <vt:lpstr>SAVINGS_MATURITY</vt:lpstr>
      <vt:lpstr>RD_MATURITY</vt:lpstr>
      <vt:lpstr>CASH_IN_HAND</vt:lpstr>
      <vt:lpstr>EQUITY_SHARES</vt:lpstr>
      <vt:lpstr>EQUITY_US</vt:lpstr>
      <vt:lpstr>CRYPTO</vt:lpstr>
      <vt:lpstr>MUTUAL_FUNDS</vt:lpstr>
      <vt:lpstr>LIABILITIES</vt:lpstr>
      <vt:lpstr>INCOME</vt:lpstr>
      <vt:lpstr>EXPENSES_FIXED</vt:lpstr>
      <vt:lpstr>EXPENSES_VARIABLE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Parthiban, Chandhnu</cp:lastModifiedBy>
  <dcterms:created xsi:type="dcterms:W3CDTF">2026-08-12T18:21:59Z</dcterms:created>
  <dcterms:modified xsi:type="dcterms:W3CDTF">2026-08-20T07:22:32Z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2026-08-19T06:19:13Z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e254c6b1-8a59-4a02-89eb-e301e4e08245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